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istrador\Desktop\"/>
    </mc:Choice>
  </mc:AlternateContent>
  <bookViews>
    <workbookView xWindow="0" yWindow="0" windowWidth="20490" windowHeight="6120" tabRatio="801" activeTab="3"/>
  </bookViews>
  <sheets>
    <sheet name="Portafolio P&amp;D" sheetId="4" r:id="rId1"/>
    <sheet name="Demanda Estrategica CT" sheetId="9" r:id="rId2"/>
    <sheet name="Pys Transf Digital" sheetId="10" r:id="rId3"/>
    <sheet name="Seguimiento Semanal" sheetId="11" r:id="rId4"/>
  </sheets>
  <externalReferences>
    <externalReference r:id="rId5"/>
  </externalReferences>
  <definedNames>
    <definedName name="_xlnm._FilterDatabase" localSheetId="1" hidden="1">'Demanda Estrategica CT'!#REF!</definedName>
    <definedName name="_xlnm._FilterDatabase" localSheetId="2" hidden="1">'Pys Transf Digital'!$B$3:$BO$35</definedName>
    <definedName name="_xlnm.Print_Area" localSheetId="2">'Pys Transf Digital'!$A$1:$BO$36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6" i="9" l="1"/>
  <c r="AT5" i="9"/>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M3" i="4"/>
  <c r="Q3" i="4" s="1"/>
  <c r="R3" i="4" s="1"/>
  <c r="M4" i="4"/>
  <c r="Q4" i="4" s="1"/>
  <c r="R4" i="4" s="1"/>
  <c r="M5" i="4"/>
  <c r="Q5" i="4" s="1"/>
  <c r="R5" i="4" s="1"/>
  <c r="M6" i="4"/>
  <c r="Q6" i="4" s="1"/>
  <c r="R6" i="4" s="1"/>
  <c r="M7" i="4"/>
  <c r="Q7" i="4" s="1"/>
  <c r="R7" i="4" s="1"/>
  <c r="M8" i="4"/>
  <c r="Q8" i="4" s="1"/>
  <c r="R8" i="4" s="1"/>
  <c r="M9" i="4"/>
  <c r="Q9" i="4" s="1"/>
  <c r="R9" i="4" s="1"/>
  <c r="M10" i="4"/>
  <c r="Q10" i="4" s="1"/>
  <c r="R10" i="4" s="1"/>
  <c r="M11" i="4"/>
  <c r="Q11" i="4" s="1"/>
  <c r="R11" i="4" s="1"/>
  <c r="M12" i="4"/>
  <c r="Q12" i="4" s="1"/>
  <c r="R12" i="4" s="1"/>
  <c r="M13" i="4"/>
  <c r="Q13" i="4" s="1"/>
  <c r="R13" i="4" s="1"/>
  <c r="M14" i="4"/>
  <c r="Q14" i="4" s="1"/>
  <c r="R14" i="4" s="1"/>
  <c r="M15" i="4"/>
  <c r="Q15" i="4" s="1"/>
  <c r="R15" i="4" s="1"/>
  <c r="M16" i="4"/>
  <c r="Q16" i="4" s="1"/>
  <c r="R16" i="4" s="1"/>
  <c r="M17" i="4"/>
  <c r="Q17" i="4" s="1"/>
  <c r="R17" i="4" s="1"/>
  <c r="M18" i="4"/>
  <c r="Q18" i="4" s="1"/>
  <c r="R18" i="4" s="1"/>
  <c r="M19" i="4"/>
  <c r="Q19" i="4" s="1"/>
  <c r="R19" i="4" s="1"/>
  <c r="M20" i="4"/>
  <c r="Q20" i="4" s="1"/>
  <c r="R20" i="4" s="1"/>
  <c r="M21" i="4"/>
  <c r="Q21" i="4" s="1"/>
  <c r="R21" i="4" s="1"/>
  <c r="M22" i="4"/>
  <c r="Q22" i="4" s="1"/>
  <c r="R22" i="4" s="1"/>
  <c r="M23" i="4"/>
  <c r="Q23" i="4" s="1"/>
  <c r="R23" i="4" s="1"/>
  <c r="M24" i="4"/>
  <c r="Q24" i="4" s="1"/>
  <c r="R24" i="4" s="1"/>
  <c r="M25" i="4"/>
  <c r="Q25" i="4" s="1"/>
  <c r="R25" i="4" s="1"/>
  <c r="M26" i="4"/>
  <c r="Q26" i="4" s="1"/>
  <c r="R26" i="4" s="1"/>
  <c r="M27" i="4"/>
  <c r="Q27" i="4" s="1"/>
  <c r="R27" i="4" s="1"/>
  <c r="M28" i="4"/>
  <c r="Q28" i="4" s="1"/>
  <c r="R28" i="4" s="1"/>
  <c r="M29" i="4"/>
  <c r="Q29" i="4" s="1"/>
  <c r="R29" i="4" s="1"/>
  <c r="M30" i="4"/>
  <c r="Q30" i="4" s="1"/>
  <c r="R30" i="4" s="1"/>
  <c r="M31" i="4"/>
  <c r="Q31" i="4" s="1"/>
  <c r="R31" i="4" s="1"/>
  <c r="M32" i="4"/>
  <c r="Q32" i="4" s="1"/>
  <c r="R32" i="4" s="1"/>
  <c r="M33" i="4"/>
  <c r="Q33" i="4" s="1"/>
  <c r="R33" i="4" s="1"/>
  <c r="M34" i="4"/>
  <c r="Q34" i="4" s="1"/>
  <c r="R34" i="4" s="1"/>
  <c r="M35" i="4"/>
  <c r="Q35" i="4" s="1"/>
  <c r="R35" i="4" s="1"/>
  <c r="M36" i="4"/>
  <c r="Q36" i="4" s="1"/>
  <c r="R36" i="4" s="1"/>
  <c r="M37" i="4"/>
  <c r="Q37" i="4" s="1"/>
  <c r="R37" i="4" s="1"/>
  <c r="M38" i="4"/>
  <c r="Q38" i="4" s="1"/>
  <c r="R38" i="4" s="1"/>
  <c r="M39" i="4"/>
  <c r="Q39" i="4" s="1"/>
  <c r="R39" i="4" s="1"/>
  <c r="M40" i="4"/>
  <c r="Q40" i="4" s="1"/>
  <c r="R40" i="4" s="1"/>
  <c r="M41" i="4"/>
  <c r="Q41" i="4" s="1"/>
  <c r="R41" i="4" s="1"/>
  <c r="M42" i="4"/>
  <c r="Q42" i="4" s="1"/>
  <c r="R42" i="4" s="1"/>
  <c r="M43" i="4"/>
  <c r="Q43" i="4" s="1"/>
  <c r="R43" i="4" s="1"/>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AM85" i="9" l="1"/>
  <c r="AN85" i="9"/>
  <c r="AS85" i="9"/>
  <c r="AM86" i="9"/>
  <c r="AN86" i="9"/>
  <c r="AS86" i="9"/>
  <c r="AM87" i="9"/>
  <c r="AN87" i="9"/>
  <c r="AS87" i="9"/>
  <c r="AM88" i="9"/>
  <c r="AN88" i="9"/>
  <c r="AS88" i="9"/>
  <c r="AM89" i="9"/>
  <c r="AN89" i="9"/>
  <c r="AS89" i="9"/>
  <c r="AM90" i="9"/>
  <c r="AN90" i="9"/>
  <c r="AS90" i="9"/>
  <c r="AM91" i="9"/>
  <c r="AN91" i="9"/>
  <c r="AS91" i="9"/>
  <c r="AM92" i="9"/>
  <c r="AN92" i="9"/>
  <c r="AS92" i="9"/>
  <c r="AM93" i="9"/>
  <c r="AN93" i="9"/>
  <c r="AS93" i="9"/>
  <c r="AM94" i="9"/>
  <c r="AN94" i="9"/>
  <c r="AS94" i="9"/>
  <c r="AM95" i="9"/>
  <c r="AN95" i="9"/>
  <c r="AS95" i="9"/>
  <c r="AM96" i="9"/>
  <c r="AN96" i="9"/>
  <c r="AS96" i="9"/>
  <c r="AM97" i="9"/>
  <c r="AN97" i="9"/>
  <c r="AS97" i="9"/>
  <c r="AM98" i="9"/>
  <c r="AN98" i="9"/>
  <c r="AS98" i="9"/>
  <c r="AM99" i="9"/>
  <c r="AN99" i="9"/>
  <c r="AS99" i="9"/>
  <c r="AM100" i="9"/>
  <c r="AN100" i="9"/>
  <c r="AS100" i="9"/>
  <c r="AM101" i="9"/>
  <c r="AN101" i="9"/>
  <c r="AS101" i="9"/>
  <c r="AM102" i="9"/>
  <c r="AN102" i="9"/>
  <c r="AS102" i="9"/>
  <c r="AM103" i="9"/>
  <c r="AN103" i="9"/>
  <c r="AS103" i="9"/>
  <c r="AM104" i="9"/>
  <c r="AN104" i="9"/>
  <c r="AS104" i="9"/>
  <c r="AM105" i="9"/>
  <c r="AN105" i="9"/>
  <c r="AS105" i="9"/>
  <c r="AM106" i="9"/>
  <c r="AN106" i="9"/>
  <c r="AS106" i="9"/>
  <c r="AM107" i="9"/>
  <c r="AN107" i="9"/>
  <c r="AS107" i="9"/>
  <c r="AM108" i="9"/>
  <c r="AN108" i="9"/>
  <c r="AS108" i="9"/>
  <c r="AM109" i="9"/>
  <c r="AN109" i="9"/>
  <c r="AS109" i="9"/>
  <c r="AM110" i="9"/>
  <c r="AN110" i="9"/>
  <c r="AS110" i="9"/>
  <c r="AM111" i="9"/>
  <c r="AN111" i="9"/>
  <c r="AS111" i="9"/>
  <c r="AM112" i="9"/>
  <c r="AN112" i="9"/>
  <c r="AS112" i="9"/>
  <c r="AM113" i="9"/>
  <c r="AN113" i="9"/>
  <c r="AS113" i="9"/>
  <c r="AM114" i="9"/>
  <c r="AN114" i="9"/>
  <c r="AS114" i="9"/>
  <c r="AM115" i="9"/>
  <c r="AN115" i="9"/>
  <c r="AS115" i="9"/>
  <c r="AS84" i="9"/>
  <c r="AT84" i="9" s="1"/>
  <c r="AN84" i="9"/>
  <c r="AM84" i="9"/>
  <c r="AT34" i="9"/>
  <c r="G4" i="10"/>
  <c r="AM14" i="9"/>
  <c r="AM8" i="9"/>
  <c r="AN8" i="9"/>
  <c r="AS8" i="9"/>
  <c r="AM9" i="9"/>
  <c r="AN9" i="9"/>
  <c r="AS9" i="9"/>
  <c r="AM10" i="9"/>
  <c r="AN10" i="9"/>
  <c r="AS10" i="9"/>
  <c r="AM11" i="9"/>
  <c r="AN11" i="9"/>
  <c r="AS11" i="9"/>
  <c r="AM12" i="9"/>
  <c r="AN12" i="9"/>
  <c r="AS12" i="9"/>
  <c r="AM13" i="9"/>
  <c r="AN13" i="9"/>
  <c r="AS13" i="9"/>
  <c r="AN14" i="9"/>
  <c r="AS14" i="9"/>
  <c r="AH15" i="9"/>
  <c r="AI15" i="9"/>
  <c r="AT15" i="9"/>
  <c r="AV15" i="9"/>
  <c r="AH16" i="9"/>
  <c r="AI16" i="9"/>
  <c r="AK16" i="9"/>
  <c r="AL16" i="9"/>
  <c r="AT16" i="9"/>
  <c r="AV16" i="9"/>
  <c r="AH17" i="9"/>
  <c r="AI17" i="9"/>
  <c r="AK17" i="9"/>
  <c r="AL17" i="9"/>
  <c r="AT17" i="9"/>
  <c r="AV17" i="9"/>
  <c r="AM18" i="9"/>
  <c r="AN18" i="9"/>
  <c r="AS18" i="9"/>
  <c r="AT18" i="9" s="1"/>
  <c r="AM19" i="9"/>
  <c r="AN19" i="9"/>
  <c r="AM20" i="9"/>
  <c r="AN20" i="9"/>
  <c r="AT20" i="9"/>
  <c r="AM21" i="9"/>
  <c r="AN21" i="9"/>
  <c r="AS21" i="9"/>
  <c r="AT21" i="9" s="1"/>
  <c r="AT22" i="9"/>
  <c r="AV22" i="9"/>
  <c r="AH23" i="9"/>
  <c r="AI23" i="9"/>
  <c r="AK23" i="9"/>
  <c r="AL23" i="9"/>
  <c r="AT23" i="9"/>
  <c r="AV23" i="9"/>
  <c r="AM24" i="9"/>
  <c r="AN24" i="9"/>
  <c r="AS24" i="9"/>
  <c r="AT24" i="9" s="1"/>
  <c r="AM25" i="9"/>
  <c r="AN25" i="9"/>
  <c r="AS25" i="9"/>
  <c r="AT25" i="9" s="1"/>
  <c r="AM26" i="9"/>
  <c r="AN26" i="9"/>
  <c r="AS26" i="9"/>
  <c r="AT26" i="9" s="1"/>
  <c r="AM27" i="9"/>
  <c r="AN27" i="9"/>
  <c r="AS27" i="9"/>
  <c r="AT27" i="9" s="1"/>
  <c r="AM28" i="9"/>
  <c r="AN28" i="9"/>
  <c r="AS28" i="9"/>
  <c r="AT28" i="9" s="1"/>
  <c r="AH29" i="9"/>
  <c r="AI29" i="9"/>
  <c r="AK29" i="9"/>
  <c r="AL29" i="9"/>
  <c r="AT29" i="9"/>
  <c r="AV29" i="9"/>
  <c r="AM30" i="9"/>
  <c r="AN30" i="9"/>
  <c r="AS30" i="9"/>
  <c r="AT30" i="9" s="1"/>
  <c r="AM31" i="9"/>
  <c r="AN31" i="9"/>
  <c r="AS31" i="9"/>
  <c r="AT31" i="9" s="1"/>
  <c r="AM32" i="9"/>
  <c r="AN32" i="9"/>
  <c r="AS32" i="9"/>
  <c r="AT32" i="9" s="1"/>
  <c r="AM33" i="9"/>
  <c r="AN33" i="9"/>
  <c r="AS33" i="9"/>
  <c r="AT33" i="9" s="1"/>
  <c r="AH34" i="9"/>
  <c r="AI34" i="9"/>
  <c r="AK34" i="9"/>
  <c r="AV34" i="9"/>
  <c r="AM35" i="9"/>
  <c r="AN35" i="9"/>
  <c r="AT35" i="9"/>
  <c r="AM36" i="9"/>
  <c r="AN36" i="9"/>
  <c r="AS36" i="9"/>
  <c r="AT36" i="9" s="1"/>
  <c r="AM37" i="9"/>
  <c r="AN37" i="9"/>
  <c r="AS37" i="9"/>
  <c r="AT37" i="9" s="1"/>
  <c r="AM38" i="9"/>
  <c r="AN38" i="9"/>
  <c r="AS38" i="9"/>
  <c r="AT38" i="9" s="1"/>
  <c r="AM39" i="9"/>
  <c r="AN39" i="9"/>
  <c r="AS39" i="9"/>
  <c r="AT39" i="9" s="1"/>
  <c r="AM40" i="9"/>
  <c r="AN40" i="9"/>
  <c r="AS40" i="9"/>
  <c r="AT40" i="9" s="1"/>
  <c r="AM41" i="9"/>
  <c r="AN41" i="9"/>
  <c r="AS41" i="9"/>
  <c r="AT41" i="9" s="1"/>
  <c r="AM42" i="9"/>
  <c r="AN42" i="9"/>
  <c r="AS42" i="9"/>
  <c r="AT42" i="9" s="1"/>
  <c r="AM43" i="9"/>
  <c r="AN43" i="9"/>
  <c r="AS43" i="9"/>
  <c r="AT43" i="9" s="1"/>
  <c r="AM44" i="9"/>
  <c r="AN44" i="9"/>
  <c r="AS44" i="9"/>
  <c r="AT44" i="9" s="1"/>
  <c r="AM45" i="9"/>
  <c r="AN45" i="9"/>
  <c r="AS45" i="9"/>
  <c r="AT45" i="9" s="1"/>
  <c r="AM46" i="9"/>
  <c r="AN46" i="9"/>
  <c r="AS46" i="9"/>
  <c r="AT46" i="9" s="1"/>
  <c r="AM47" i="9"/>
  <c r="AN47" i="9"/>
  <c r="AS47" i="9"/>
  <c r="AT47" i="9" s="1"/>
  <c r="AH48" i="9"/>
  <c r="AI48" i="9"/>
  <c r="AK48" i="9"/>
  <c r="AL48" i="9"/>
  <c r="AT48" i="9"/>
  <c r="AV48" i="9"/>
  <c r="AT49" i="9"/>
  <c r="AV49" i="9"/>
  <c r="AK50" i="9"/>
  <c r="AL50" i="9"/>
  <c r="AM50" i="9"/>
  <c r="AN50" i="9"/>
  <c r="AT50" i="9"/>
  <c r="AM51" i="9"/>
  <c r="AN51" i="9"/>
  <c r="AS51" i="9"/>
  <c r="AT51" i="9" s="1"/>
  <c r="AM52" i="9"/>
  <c r="AN52" i="9"/>
  <c r="AS52" i="9"/>
  <c r="AT52" i="9" s="1"/>
  <c r="AM53" i="9"/>
  <c r="AN53" i="9"/>
  <c r="AS53" i="9"/>
  <c r="AT53" i="9" s="1"/>
  <c r="AM54" i="9"/>
  <c r="AN54" i="9"/>
  <c r="AT54" i="9"/>
  <c r="AH55" i="9"/>
  <c r="AI55" i="9"/>
  <c r="AK55" i="9"/>
  <c r="AL55" i="9"/>
  <c r="AT55" i="9"/>
  <c r="AV55" i="9"/>
  <c r="AM56" i="9"/>
  <c r="AN56" i="9"/>
  <c r="AS56" i="9"/>
  <c r="AT56" i="9" s="1"/>
  <c r="AM57" i="9"/>
  <c r="AN57" i="9"/>
  <c r="AS57" i="9"/>
  <c r="AT57" i="9" s="1"/>
  <c r="AM58" i="9"/>
  <c r="AN58" i="9"/>
  <c r="AS58" i="9"/>
  <c r="AT58" i="9" s="1"/>
  <c r="AT59" i="9"/>
  <c r="AV59" i="9"/>
  <c r="AM60" i="9"/>
  <c r="AN60" i="9"/>
  <c r="AS60" i="9"/>
  <c r="AT60" i="9" s="1"/>
  <c r="AH61" i="9"/>
  <c r="AI61" i="9"/>
  <c r="AK61" i="9"/>
  <c r="AL61" i="9"/>
  <c r="AT61" i="9"/>
  <c r="AV61" i="9"/>
  <c r="AM62" i="9"/>
  <c r="AN62" i="9"/>
  <c r="AS62" i="9"/>
  <c r="AT62" i="9" s="1"/>
  <c r="AM63" i="9"/>
  <c r="AN63" i="9"/>
  <c r="AS63" i="9"/>
  <c r="AT63" i="9" s="1"/>
  <c r="AM64" i="9"/>
  <c r="AN64" i="9"/>
  <c r="AS64" i="9"/>
  <c r="AT64" i="9" s="1"/>
  <c r="AM65" i="9"/>
  <c r="AN65" i="9"/>
  <c r="AS65" i="9"/>
  <c r="AT65" i="9" s="1"/>
  <c r="AM66" i="9"/>
  <c r="AN66" i="9"/>
  <c r="AS66" i="9"/>
  <c r="AT66" i="9" s="1"/>
  <c r="AM67" i="9"/>
  <c r="AN67" i="9"/>
  <c r="AS67" i="9"/>
  <c r="AT67" i="9" s="1"/>
  <c r="AM68" i="9"/>
  <c r="AN68" i="9"/>
  <c r="AT68" i="9"/>
  <c r="AM69" i="9"/>
  <c r="AN69" i="9"/>
  <c r="AS69" i="9"/>
  <c r="AT69" i="9" s="1"/>
  <c r="AM70" i="9"/>
  <c r="AN70" i="9"/>
  <c r="AS70" i="9"/>
  <c r="AT70" i="9" s="1"/>
  <c r="AV70" i="9"/>
  <c r="AM71" i="9"/>
  <c r="AN71" i="9"/>
  <c r="AS71" i="9"/>
  <c r="AT71" i="9" s="1"/>
  <c r="AM72" i="9"/>
  <c r="AN72" i="9"/>
  <c r="AS72" i="9"/>
  <c r="AT72" i="9" s="1"/>
  <c r="AM73" i="9"/>
  <c r="AN73" i="9"/>
  <c r="AT73" i="9"/>
  <c r="AV73" i="9"/>
  <c r="AM74" i="9"/>
  <c r="AN74" i="9"/>
  <c r="AT74" i="9"/>
  <c r="AM75" i="9"/>
  <c r="AN75" i="9"/>
  <c r="AS75" i="9"/>
  <c r="AT75" i="9" s="1"/>
  <c r="AM76" i="9"/>
  <c r="AN76" i="9"/>
  <c r="AT76" i="9"/>
  <c r="AV76" i="9"/>
  <c r="AM77" i="9"/>
  <c r="AN77" i="9"/>
  <c r="AT77" i="9"/>
  <c r="AV77" i="9"/>
  <c r="AM78" i="9"/>
  <c r="AN78" i="9"/>
  <c r="AS78" i="9"/>
  <c r="AT78" i="9" s="1"/>
  <c r="AV78" i="9"/>
  <c r="AM79" i="9"/>
  <c r="AN79" i="9"/>
  <c r="AS79" i="9"/>
  <c r="AT79" i="9" s="1"/>
  <c r="AV79" i="9"/>
  <c r="AV83" i="9"/>
  <c r="AT83" i="9"/>
  <c r="AN83" i="9"/>
  <c r="AM83" i="9"/>
  <c r="AM82" i="9"/>
  <c r="AN82" i="9"/>
  <c r="AT82" i="9"/>
  <c r="AV82" i="9"/>
  <c r="AM80" i="9"/>
  <c r="AM81" i="9"/>
  <c r="AN80" i="9"/>
  <c r="AN81" i="9"/>
  <c r="AS80" i="9"/>
  <c r="AT80" i="9" s="1"/>
  <c r="AT81" i="9"/>
  <c r="AV80" i="9"/>
  <c r="AV81" i="9"/>
  <c r="F12" i="10"/>
  <c r="D36" i="10"/>
  <c r="AC16" i="4"/>
  <c r="J43" i="4"/>
  <c r="K43" i="4" s="1"/>
  <c r="AC43" i="4"/>
  <c r="M24" i="10"/>
  <c r="L24" i="10"/>
  <c r="K24" i="10"/>
  <c r="J24" i="10"/>
  <c r="I24" i="10"/>
  <c r="H24" i="10"/>
  <c r="G24" i="10"/>
  <c r="G25" i="10"/>
  <c r="H25" i="10"/>
  <c r="I25" i="10"/>
  <c r="J25" i="10"/>
  <c r="K25" i="10"/>
  <c r="L25" i="10"/>
  <c r="M25" i="10"/>
  <c r="M26" i="10"/>
  <c r="L26" i="10"/>
  <c r="K26" i="10"/>
  <c r="J26" i="10"/>
  <c r="I26" i="10"/>
  <c r="H26" i="10"/>
  <c r="G26" i="10"/>
  <c r="M27" i="10"/>
  <c r="L27" i="10"/>
  <c r="K27" i="10"/>
  <c r="J27" i="10"/>
  <c r="I27" i="10"/>
  <c r="H27" i="10"/>
  <c r="G27" i="10"/>
  <c r="M34" i="10"/>
  <c r="J30" i="10"/>
  <c r="I30" i="10"/>
  <c r="H30" i="10"/>
  <c r="G30" i="10"/>
  <c r="F30" i="10"/>
  <c r="E30" i="10"/>
  <c r="K30" i="10"/>
  <c r="L30" i="10"/>
  <c r="M30" i="10"/>
  <c r="D30" i="10"/>
  <c r="C30" i="10"/>
  <c r="M23" i="10"/>
  <c r="L23" i="10"/>
  <c r="K23" i="10"/>
  <c r="J23" i="10"/>
  <c r="I23" i="10"/>
  <c r="H23" i="10"/>
  <c r="G23" i="10"/>
  <c r="F23" i="10"/>
  <c r="E23" i="10"/>
  <c r="D23" i="10"/>
  <c r="C23" i="10"/>
  <c r="C25" i="10"/>
  <c r="D25" i="10"/>
  <c r="E25" i="10"/>
  <c r="F25" i="10"/>
  <c r="C26" i="10"/>
  <c r="D26" i="10"/>
  <c r="E26" i="10"/>
  <c r="F26" i="10"/>
  <c r="C27" i="10"/>
  <c r="D27" i="10"/>
  <c r="E27" i="10"/>
  <c r="F27" i="10"/>
  <c r="F24" i="10"/>
  <c r="E24" i="10"/>
  <c r="D24" i="10"/>
  <c r="C24" i="10"/>
  <c r="F22" i="10"/>
  <c r="M22" i="10"/>
  <c r="L22" i="10"/>
  <c r="K22" i="10"/>
  <c r="J22" i="10"/>
  <c r="I22" i="10"/>
  <c r="H22" i="10"/>
  <c r="G22" i="10"/>
  <c r="E22" i="10"/>
  <c r="D22" i="10"/>
  <c r="C22" i="10"/>
  <c r="M21" i="10"/>
  <c r="L21" i="10"/>
  <c r="K21" i="10"/>
  <c r="J21" i="10"/>
  <c r="I21" i="10"/>
  <c r="H21" i="10"/>
  <c r="G21" i="10"/>
  <c r="F21" i="10"/>
  <c r="E21" i="10"/>
  <c r="D21" i="10"/>
  <c r="C21" i="10"/>
  <c r="E31" i="10"/>
  <c r="E32" i="10"/>
  <c r="E33" i="10"/>
  <c r="E34" i="10"/>
  <c r="E35" i="10"/>
  <c r="E36" i="10"/>
  <c r="E28" i="10"/>
  <c r="E29" i="10"/>
  <c r="E20" i="10"/>
  <c r="M19" i="10"/>
  <c r="L19" i="10"/>
  <c r="K19" i="10"/>
  <c r="J19" i="10"/>
  <c r="I19" i="10"/>
  <c r="H19" i="10"/>
  <c r="G19" i="10"/>
  <c r="F19" i="10"/>
  <c r="E19" i="10"/>
  <c r="D19" i="10"/>
  <c r="C19" i="10"/>
  <c r="C18" i="10"/>
  <c r="D18" i="10"/>
  <c r="E18" i="10"/>
  <c r="F18" i="10"/>
  <c r="G18" i="10"/>
  <c r="H18" i="10"/>
  <c r="I18" i="10"/>
  <c r="J18" i="10"/>
  <c r="K18" i="10"/>
  <c r="L18" i="10"/>
  <c r="M18" i="10"/>
  <c r="L17" i="10"/>
  <c r="M17" i="10"/>
  <c r="K17" i="10"/>
  <c r="J17" i="10"/>
  <c r="I17" i="10"/>
  <c r="H17" i="10"/>
  <c r="G17" i="10"/>
  <c r="F17" i="10"/>
  <c r="E17" i="10"/>
  <c r="D17" i="10"/>
  <c r="C17" i="10"/>
  <c r="E16" i="10"/>
  <c r="E15" i="10"/>
  <c r="M14" i="10"/>
  <c r="L14" i="10"/>
  <c r="K14" i="10"/>
  <c r="J14" i="10"/>
  <c r="I14" i="10"/>
  <c r="H14" i="10"/>
  <c r="G14" i="10"/>
  <c r="F14" i="10"/>
  <c r="E14" i="10"/>
  <c r="D14" i="10"/>
  <c r="C14" i="10"/>
  <c r="M13" i="10"/>
  <c r="L13" i="10"/>
  <c r="K13" i="10"/>
  <c r="J13" i="10"/>
  <c r="I13" i="10"/>
  <c r="H13" i="10"/>
  <c r="G13" i="10"/>
  <c r="F13" i="10"/>
  <c r="E13" i="10"/>
  <c r="D13" i="10"/>
  <c r="C13" i="10"/>
  <c r="M12" i="10"/>
  <c r="L12" i="10"/>
  <c r="K12" i="10"/>
  <c r="J12" i="10"/>
  <c r="I12" i="10"/>
  <c r="H12" i="10"/>
  <c r="G12" i="10"/>
  <c r="E12" i="10"/>
  <c r="D12" i="10"/>
  <c r="C12" i="10"/>
  <c r="L11" i="10"/>
  <c r="K11" i="10"/>
  <c r="J11" i="10"/>
  <c r="I11" i="10"/>
  <c r="H11" i="10"/>
  <c r="G11" i="10"/>
  <c r="F11" i="10"/>
  <c r="M11" i="10"/>
  <c r="C11" i="10"/>
  <c r="E11" i="10"/>
  <c r="D11" i="10"/>
  <c r="E10" i="10"/>
  <c r="M8" i="10"/>
  <c r="L8" i="10"/>
  <c r="K8" i="10"/>
  <c r="J8" i="10"/>
  <c r="I8" i="10"/>
  <c r="H8" i="10"/>
  <c r="G8" i="10"/>
  <c r="M9" i="10"/>
  <c r="L9" i="10"/>
  <c r="K9" i="10"/>
  <c r="J9" i="10"/>
  <c r="I9" i="10"/>
  <c r="H9" i="10"/>
  <c r="G9" i="10"/>
  <c r="F9" i="10"/>
  <c r="F8" i="10"/>
  <c r="E9" i="10"/>
  <c r="D9" i="10"/>
  <c r="C9" i="10"/>
  <c r="E8" i="10"/>
  <c r="C8" i="10"/>
  <c r="D8" i="10"/>
  <c r="E7" i="10"/>
  <c r="E6" i="10"/>
  <c r="E4" i="10"/>
  <c r="F5" i="10"/>
  <c r="G5" i="10"/>
  <c r="H5" i="10"/>
  <c r="I5" i="10"/>
  <c r="J5" i="10"/>
  <c r="K5" i="10"/>
  <c r="L5" i="10"/>
  <c r="M5" i="10"/>
  <c r="E5" i="10"/>
  <c r="C5" i="10"/>
  <c r="D5" i="10"/>
  <c r="J4" i="10"/>
  <c r="I4" i="10"/>
  <c r="H4" i="10"/>
  <c r="F4" i="10"/>
  <c r="K4" i="10"/>
  <c r="L4" i="10"/>
  <c r="M4" i="10"/>
  <c r="D4" i="10"/>
  <c r="C4" i="10"/>
  <c r="C7" i="10"/>
  <c r="D7" i="10"/>
  <c r="C6" i="10"/>
  <c r="D6" i="10"/>
  <c r="C10" i="10"/>
  <c r="D10" i="10"/>
  <c r="M36" i="10"/>
  <c r="L36" i="10"/>
  <c r="K36" i="10"/>
  <c r="J36" i="10"/>
  <c r="I36" i="10"/>
  <c r="H36" i="10"/>
  <c r="G36" i="10"/>
  <c r="F36" i="10"/>
  <c r="C36" i="10"/>
  <c r="M35" i="10"/>
  <c r="L35" i="10"/>
  <c r="K35" i="10"/>
  <c r="J35" i="10"/>
  <c r="I35" i="10"/>
  <c r="H35" i="10"/>
  <c r="G35" i="10"/>
  <c r="F35" i="10"/>
  <c r="D35" i="10"/>
  <c r="C35" i="10"/>
  <c r="L34" i="10"/>
  <c r="K34" i="10"/>
  <c r="J34" i="10"/>
  <c r="I34" i="10"/>
  <c r="H34" i="10"/>
  <c r="G34" i="10"/>
  <c r="F34" i="10"/>
  <c r="C34" i="10"/>
  <c r="D34" i="10"/>
  <c r="M33" i="10"/>
  <c r="L33" i="10"/>
  <c r="K33" i="10"/>
  <c r="J33" i="10"/>
  <c r="I33" i="10"/>
  <c r="H33" i="10"/>
  <c r="G33" i="10"/>
  <c r="F33" i="10"/>
  <c r="D33" i="10"/>
  <c r="C33" i="10"/>
  <c r="M32" i="10"/>
  <c r="L32" i="10"/>
  <c r="K32" i="10"/>
  <c r="J32" i="10"/>
  <c r="I32" i="10"/>
  <c r="H32" i="10"/>
  <c r="G32" i="10"/>
  <c r="F32" i="10"/>
  <c r="C32" i="10"/>
  <c r="D32" i="10"/>
  <c r="M31" i="10"/>
  <c r="L31" i="10"/>
  <c r="K31" i="10"/>
  <c r="J31" i="10"/>
  <c r="I31" i="10"/>
  <c r="H31" i="10"/>
  <c r="G31" i="10"/>
  <c r="F31" i="10"/>
  <c r="C31" i="10"/>
  <c r="D31" i="10"/>
  <c r="C29" i="10"/>
  <c r="D29" i="10"/>
  <c r="F29" i="10"/>
  <c r="G29" i="10"/>
  <c r="H29" i="10"/>
  <c r="I29" i="10"/>
  <c r="J29" i="10"/>
  <c r="K29" i="10"/>
  <c r="L29" i="10"/>
  <c r="M29" i="10"/>
  <c r="M28" i="10"/>
  <c r="L28" i="10"/>
  <c r="K28" i="10"/>
  <c r="J28" i="10"/>
  <c r="I28" i="10"/>
  <c r="H28" i="10"/>
  <c r="G28" i="10"/>
  <c r="F28" i="10"/>
  <c r="C28" i="10"/>
  <c r="D28" i="10"/>
  <c r="L20" i="10"/>
  <c r="K20" i="10"/>
  <c r="J20" i="10"/>
  <c r="I20" i="10"/>
  <c r="H20" i="10"/>
  <c r="G20" i="10"/>
  <c r="F20" i="10"/>
  <c r="M20" i="10"/>
  <c r="C20" i="10"/>
  <c r="D20" i="10"/>
  <c r="D16" i="10"/>
  <c r="M16" i="10"/>
  <c r="L16" i="10"/>
  <c r="K16" i="10"/>
  <c r="J16" i="10"/>
  <c r="I16" i="10"/>
  <c r="H16" i="10"/>
  <c r="G16" i="10"/>
  <c r="F16" i="10"/>
  <c r="C16" i="10"/>
  <c r="D15" i="10"/>
  <c r="C15" i="10"/>
  <c r="F15" i="10"/>
  <c r="M15" i="10"/>
  <c r="L15" i="10"/>
  <c r="K15" i="10"/>
  <c r="J15" i="10"/>
  <c r="I15" i="10"/>
  <c r="H15" i="10"/>
  <c r="G15" i="10"/>
  <c r="M10" i="10"/>
  <c r="L10" i="10"/>
  <c r="K10" i="10"/>
  <c r="J10" i="10"/>
  <c r="I10" i="10"/>
  <c r="H10" i="10"/>
  <c r="G10" i="10"/>
  <c r="F10" i="10"/>
  <c r="M7" i="10"/>
  <c r="L7" i="10"/>
  <c r="K7" i="10"/>
  <c r="J7" i="10"/>
  <c r="I7" i="10"/>
  <c r="H7" i="10"/>
  <c r="G7" i="10"/>
  <c r="F7" i="10"/>
  <c r="F6" i="10"/>
  <c r="H6" i="10"/>
  <c r="G6" i="10"/>
  <c r="I6" i="10"/>
  <c r="M6" i="10"/>
  <c r="L6" i="10"/>
  <c r="K6" i="10"/>
  <c r="J6" i="10"/>
  <c r="AS7" i="9"/>
  <c r="AC42" i="4"/>
  <c r="AN6" i="9"/>
  <c r="AN7" i="9"/>
  <c r="F1" i="9"/>
  <c r="AM6" i="9"/>
  <c r="AM7" i="9"/>
  <c r="AC3" i="4"/>
  <c r="AC4" i="4"/>
  <c r="AC5" i="4"/>
  <c r="AC6" i="4"/>
  <c r="AC7" i="4"/>
  <c r="AC8" i="4"/>
  <c r="AC9" i="4"/>
  <c r="AC10" i="4"/>
  <c r="AC11" i="4"/>
  <c r="AC12" i="4"/>
  <c r="AC13" i="4"/>
  <c r="AC14" i="4"/>
  <c r="AC15"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L5" i="9"/>
  <c r="AK5" i="9"/>
  <c r="AH5" i="9"/>
  <c r="AV5" i="9"/>
  <c r="L43" i="4" l="1"/>
  <c r="AT7" i="9"/>
  <c r="AT6" i="9"/>
  <c r="AT14" i="9"/>
  <c r="AT13" i="9"/>
  <c r="AT12" i="9"/>
  <c r="AT11" i="9"/>
  <c r="AT10" i="9"/>
  <c r="AT9" i="9"/>
  <c r="AT8" i="9"/>
  <c r="AM34" i="9"/>
  <c r="AM23" i="9"/>
  <c r="AN15" i="9"/>
  <c r="AM17" i="9"/>
  <c r="AN55" i="9"/>
  <c r="AM22" i="9"/>
  <c r="AN61" i="9"/>
  <c r="AM49" i="9"/>
  <c r="AN34" i="9"/>
  <c r="AM16" i="9"/>
  <c r="AN17" i="9"/>
  <c r="AM29" i="9"/>
  <c r="AM61" i="9"/>
  <c r="AM59" i="9"/>
  <c r="AM55" i="9"/>
  <c r="AN49" i="9"/>
  <c r="AM48" i="9"/>
  <c r="AN23" i="9"/>
  <c r="AM15" i="9"/>
  <c r="AN29" i="9"/>
  <c r="AN16" i="9"/>
  <c r="AN22" i="9"/>
  <c r="AN59" i="9"/>
  <c r="AN48" i="9"/>
  <c r="AN5" i="9"/>
  <c r="AM5" i="9"/>
  <c r="C1" i="9"/>
</calcChain>
</file>

<file path=xl/comments1.xml><?xml version="1.0" encoding="utf-8"?>
<comments xmlns="http://schemas.openxmlformats.org/spreadsheetml/2006/main">
  <authors>
    <author>VICKY FIORELLA SANCHEZ ROJAS</author>
  </authors>
  <commentList>
    <comment ref="A4" authorId="0" shapeId="0">
      <text>
        <r>
          <rPr>
            <sz val="11"/>
            <color theme="1"/>
            <rFont val="Calibri"/>
            <family val="2"/>
            <scheme val="minor"/>
          </rPr>
          <t xml:space="preserve">Identificador del requerimiento. Proviene del registro en el Backlog.
</t>
        </r>
      </text>
    </comment>
  </commentList>
</comments>
</file>

<file path=xl/sharedStrings.xml><?xml version="1.0" encoding="utf-8"?>
<sst xmlns="http://schemas.openxmlformats.org/spreadsheetml/2006/main" count="1944" uniqueCount="541">
  <si>
    <t>N°</t>
  </si>
  <si>
    <t>Código de Planeamiento</t>
  </si>
  <si>
    <t>Nombre del Proyecto</t>
  </si>
  <si>
    <t>Alcance del Proyecto</t>
  </si>
  <si>
    <t>Gerencia Líder</t>
  </si>
  <si>
    <t>Líder del Proyecto</t>
  </si>
  <si>
    <t>Usuario Funcional</t>
  </si>
  <si>
    <t>Gestor de Planeamiento</t>
  </si>
  <si>
    <t>Presupuesto asignado</t>
  </si>
  <si>
    <t>Valor Ganado (EV)</t>
  </si>
  <si>
    <t>Costo Actual (AC)</t>
  </si>
  <si>
    <t>CPI</t>
  </si>
  <si>
    <t>Fecha Comité Ejec. Proy.</t>
  </si>
  <si>
    <t>N° Acta Comité
(aprobación)</t>
  </si>
  <si>
    <t>Dimensión</t>
  </si>
  <si>
    <t>Objetivo</t>
  </si>
  <si>
    <t>Año Inicio Planificado</t>
  </si>
  <si>
    <t>Año Fin Planificado</t>
  </si>
  <si>
    <t>N° Solicitudes de cambio</t>
  </si>
  <si>
    <t>Componente Tecnológico</t>
  </si>
  <si>
    <t>Transformación Digital</t>
  </si>
  <si>
    <t>Cartera</t>
  </si>
  <si>
    <t>Anexo 1 
(Modelo de Negocio)</t>
  </si>
  <si>
    <t>Líder Técnico</t>
  </si>
  <si>
    <t>Fecha Inicio</t>
  </si>
  <si>
    <t>Fecha Fin</t>
  </si>
  <si>
    <t>% Avance Planificado</t>
  </si>
  <si>
    <t>% Avance ejecutado</t>
  </si>
  <si>
    <t>Desv. %</t>
  </si>
  <si>
    <t>Estado</t>
  </si>
  <si>
    <t>SEGUIMIENTO  
(Planeamiento y Control de Gestión)</t>
  </si>
  <si>
    <t>Iniciativa</t>
  </si>
  <si>
    <t>-</t>
  </si>
  <si>
    <t>04. Cerrado</t>
  </si>
  <si>
    <t>PROKDD-EO05-23-4</t>
  </si>
  <si>
    <t>Por definir</t>
  </si>
  <si>
    <t>Jorge Campos</t>
  </si>
  <si>
    <t>02. En Curso</t>
  </si>
  <si>
    <t>PRONCR-EO05-23-5</t>
  </si>
  <si>
    <t>Diego Marcelo</t>
  </si>
  <si>
    <t>Felix Ochoa</t>
  </si>
  <si>
    <t>PRODNI-EO12-23-8</t>
  </si>
  <si>
    <t>Luis Palacios</t>
  </si>
  <si>
    <t>Angela Risco</t>
  </si>
  <si>
    <t>03. Implementado</t>
  </si>
  <si>
    <t>Mario Carbajo</t>
  </si>
  <si>
    <t>No Aplica</t>
  </si>
  <si>
    <t>05. Descartado</t>
  </si>
  <si>
    <t>PROPBMBI-EO10-24-36</t>
  </si>
  <si>
    <t>Anyelina Cortez / Stephanic Urtecho</t>
  </si>
  <si>
    <t>PROCDBN-EO05-37</t>
  </si>
  <si>
    <t>01. No Iniciado</t>
  </si>
  <si>
    <t>TOTAL:</t>
  </si>
  <si>
    <t>SEGUIMIENTO DE LA DEMANDA ESTRATÉGICA</t>
  </si>
  <si>
    <t>OK</t>
  </si>
  <si>
    <t>PENDIENTE</t>
  </si>
  <si>
    <t>ID</t>
  </si>
  <si>
    <t>ID Trámite</t>
  </si>
  <si>
    <t>ID Dependencia</t>
  </si>
  <si>
    <t>ID Proyecto / Mantenimiento asociado</t>
  </si>
  <si>
    <t>Tipo de Requerimiento</t>
  </si>
  <si>
    <t>Gestor  de Planeamiento</t>
  </si>
  <si>
    <t>Fecha de Solicitud a TI</t>
  </si>
  <si>
    <t>Memorando STD</t>
  </si>
  <si>
    <t>Canal de Atención</t>
  </si>
  <si>
    <t>Producto</t>
  </si>
  <si>
    <t>Servicio</t>
  </si>
  <si>
    <t>Categoría</t>
  </si>
  <si>
    <t>Entidad reguladora / Organo de Control</t>
  </si>
  <si>
    <t>N° Norma / N° Informe</t>
  </si>
  <si>
    <t>N° recomendación</t>
  </si>
  <si>
    <t>Fecha de Aprobación en Comité</t>
  </si>
  <si>
    <t>Gestor TI</t>
  </si>
  <si>
    <t>Aplicativo</t>
  </si>
  <si>
    <t>Área Responsable TI</t>
  </si>
  <si>
    <t>Entidad / Proveedor Asignado</t>
  </si>
  <si>
    <t>Analista asignado</t>
  </si>
  <si>
    <t>Motivo según estado</t>
  </si>
  <si>
    <t>Fecha registro trámite</t>
  </si>
  <si>
    <t>Fecha Inicio- Plan</t>
  </si>
  <si>
    <t>Fecha Fin- Plan</t>
  </si>
  <si>
    <t>Fecha Fin Ral 
(CQ)</t>
  </si>
  <si>
    <t>Días faltantes</t>
  </si>
  <si>
    <t>ALERTA</t>
  </si>
  <si>
    <t>Fecha Fin TI Propuesta</t>
  </si>
  <si>
    <t>Fecha Fin TI (Trimestre)</t>
  </si>
  <si>
    <t>Últ. Estado CQ 30.04</t>
  </si>
  <si>
    <t>Estado TI</t>
  </si>
  <si>
    <t>Estado Proyecto TI</t>
  </si>
  <si>
    <t>Seguimiento OPP</t>
  </si>
  <si>
    <t>Proyecto</t>
  </si>
  <si>
    <t>2026-I</t>
  </si>
  <si>
    <t>03. En Desarrollo</t>
  </si>
  <si>
    <t>14/01/2026: El estado es el sgte:
Entregable 7 (fase 1): Certificado en 12/2024.
Entregable 7 (fase 2): A espera que el proveedor confirme inicio de pruebas en Calidad. Oplaft remitirá solicitud de enmascaramiento de data de prueba traida de Producción.
Entregable 9: A espera que el Proveedor brinde disponibilidad para realizar las pruebas técnicas de integración en el mes de enero, para luego continuar con las pruebas de usuario.
Entregable 10: Paso a producción el 28/11, se hicieron ajustes de configuración hasta el 10/12 informando su puesta en producción.
Entregable 12: Certificado en 12/2024. 
Existen vulnerabilidades pendientes, respecto al cual el proveedor a remitido su compromiso (correo) para ser subsanado en May26. En coordinación con el proveedor, se están llevando a cabo reuniones para actualizar el cronograma del Proyecto.
15/12/2025: El estado es el sgte:
Entregable 7 (fase 1): Certificado en 12/2024.
Entregable 7 (fase 2): A espera que el proveedor confirme inicio de pruebas en Calidad.
Entregable 9: Se están realizando nuevas pruebas técnicas de integración, para continuar con las pruebas de usuario.
Entregable 10: Paso a producción el 28/11, se hicieron ajustes de configuración hasta el 10/12 informando su puesta en producción.
Entregable 12: Certificado en 12/2024. 
Existen vulnerabilidades pendientes, respecto al cual el proveedor a remitido su compromiso (correo) para ser subsanado en May26. Existe un plan a alto nivel propuesto por el Proveedor, sobre el cual se están ejecutando las actividades.
05/09/2025: El estado es el sgte:
Entregable 7 (fase 1): Certificado el 12/2024.
Entregable 7 (fase 2): En adecuaciones de las transacciones faltantes, compromiso 15-Oct-25.
Entregable 9: Pruebas técnicas culminaron, se está actualizando el mapeo técnico/funcional, el Proveedor está actualizando la versión de Sentinel en desarrollo (15 días).
Entregable 10: Certificado el 06/2025
Entregable 12: Certificado 12/2024. 
BN ejecutó en Jul-25 un nuevo de análisis de vulnerabilidad en certificación, donde se evidencia que las vulnerabilidades permanecen. Pendiente reunión para revisar los resultados de las pruebas de rendimiento que efectuó el proveedor. En reunión con los usuarios de Riesgos, Oplaft y Fraudes se estableció hitos de pase a producción: Entregable 10 y 12 (Dic2025), Entregable 7 y Entregable 9 (Mar2026).
Está pendiente que el usuario gestione la ampliación de plazo e informar a Planeamiento.
25/07/2025: Entregable 7 (fase 1): Certificado el  12/2024; Entregable 7 (fase 2): Se culmino con la generación y entrega de data de 6 meses. A la espera que el proveedor complete el despliegue en calidad y confirme el inicio de las pruebas;
Entregable 9: Se están realizando nuevas pruebas técnicas en los canales, de acuerdo a lo solicitado por el proveedor.; Entregable 10: Certificado el 06/2025; Entregable 12: Certificado 12/2024. BN ejecutó un nuevo de analisis de vulnerabilidad en el ambiente de certificación la semana del 14 al 18/07 donde se evidencia que las vulnerabilidades permanecen, se remitirá informe al Proveedor reiterando se subsanen las vulnerabilidades, como tambien se subsane las observaciones de las pruebas de rendimiento; antes de un pase a Producción.
11/06/2025:Según la información enviada de 
17/07/2025: Entregable 7 (fase 1): Certificado el  12/2024; Entregable 7 (fase 2): Se culmino con la generación y entrega de data de 6 meses. A la espera que el proveedor complete el despliegue en calidad y confirme el inicio de las pruebas;
Entregable 9: Se están realizando nuevas pruebas técnicas en los canales del alcance, de acuerdo a lo solicitado por el proveedor.; Entregable 10: Certificado 06/2025; Entregable 12: Certificado 12/2024; Pendiente que el proveedor resuelva las observaciones de vulnerabilidades y pruebas de rendimiento, antes de un pase a Producción.
11/06/2025:Según la información enviada de Planeamiento en el mes de Mayo se precisa lo siguiente:
Entregable 7 Fase 2 Ambiente de Desarrollo continúan las pruebas de perfiles ,funcionales y la validación de Calidad de datos de los archivos de 5 días, en paralelo se están generando desde 2/5 los archivos de 6 meses con los programas extractores v2 .
Entregable 9 se culmino la integración de datos desde los canales en el ambiente Desarrollo. Entregable 10 se culmino las pruebas en el ambiente de Certificación esta en proceso la firma de los IRPF y RC .
03/06/2025: Según la información enviada de Planeamiento mediante correo respecto al proyecto en el mes de abril se tiene que: Se encuentra en actualización el Cronograma entre el BN y SS  el cual generara la versión 3. Se desplego la versión 7.12.1 de Sentinel Core y Predictions en el ambiente de desarrollo.
07/05/2025: Según la información remitida por Planeamiento mediante correo: Se esta desplegando la nueva versión de Sentinel Core y Predictions que resuelve issues identificadas durante las pruebas hasta dic 2024.
Entregable 7  La revisión de Calidad de datos no se esta cumpliendo en fecha debido a la que la  información aun sigue siendo corregida por parte de TI-BN , existe una alta dependencia de un solo especialista para el análisis y construcción de los programas extractores . 
Entregable 9 Hay retraso en el inicio de  las pruebas funcionales en el ambiente de desarrollo debido a las actividades previas por parte de TI-BN y Smartsoft. 
Entregable 10 Aún están pendientes de firma las RC , ya que dependen de los IRPF, tanto de Producto como Funcional, los cuales no han sido remitidos con las firmas correspondientes por parte de Smartsoft. Una vez que Smartsoft entregue los IRPF debidamente visados, los usuarios y el equipo de TI - BN procederán con el visado final para su cierre.
31/12/2024: A nivel entregables se encuentran en ejecución 4 entregables. 
OPLAFT 
El entregable 7 se encuentra a un 86 %. Se culmino la certificación de la Fase 1   (Productos y Perfiles).
Fraudes
El entregable 9 se encuentra a un  70 %.  Se definió el tema de las pruebas RT y NRT .
El entregable 10 se encuentra a un 65 %.
El entregable 12 se encuentra a un 92 % Se culmino la certificación.
23/05/2024 Mediante Comité Estratégico de proyectos de fecha 06.05.24 se informa la aprobación de control de cambios del proyecto 
08/04/24 Se ha cambiado la fecha de inicio de proyecto de 2023 a 2021
20/03/24 TI compartirá con Planeamiento el nuevo plan actualizado para que se gestione el control de cambios con el Líder del Proyecto.
03/06/2025: Según la información enviada de Planeamiento mediante correo respecto al proyecto en el mes de abril se tiene que: Se encuentra en actualización el Cronograma entre el BN y SS  el cual generara la versión 3. Se desplego la versión 7.12.1 de Sentinel Core y Predictions en el ambiente de desarrollo.
08/05/25: A espera de actas visadas por el área usuaria del Entregable 10 para su certificación. Se ejecuto las pruebas de rendimiento, pero con observaciones remitidos al Proveedor y BNDesa. Respecto al Entregable 7, se encuentra en proceso de despliegue de la nueva version Sentinel Core y Reporter en el ambiente de Calidad para iniciar las pruebas del Entregable 7 (fase2).
04/04/25: Del Entregable 10 se concluyeron con las pruebas funcionales. A la espera de actas visadas por el área usuaria y el proveedor para su certificación. Se está culminando las pruebas de rendimiento y está en proceso de elaboración del informe. Respecto al Entregable 9 se inició con las pruebas del producto y perfiles el 25/03 en Desarrollo. Se espera iniciar las pruebas funcionales la 2da semana de abril luego de que el proveedor culmine con la configuración de reglas de los canales. Respecto al Entregable 7 (fase 2), queda pendiente culminar solo las pruebas de calidad de datos en coordinación diaria con construcción, usuario y proveedor.
21/03/25: Mediante correo del 21/03/25 de Planeamiento se indica:
Entregable 7: 86% 
Entregable 9: 72% 
Entregable 10: 81%
Entregable 12: 93% 
03/03/25: Se concluyeron con las pruebas funcionales del entregable 10 (en firma de actas) y se iniciarán con las pruebas de rendimiento. Respecto al entregable 9, se estima iniciar el 05/03 las pruebas funcionales en Desarrollo (previa confirmación del proveedor). Respecto al entregable 7 (fase 2), continuan las pruebas de calidad de datos en coordinación diaria con construcción, usuario y proveedor, ademas se culminaron con lsa pruebas del producto (en firma de actas por parte del proveedor y usuarios), perfiles (en elaboración de actas,  pruebas funcionales (avanzando en coordinaciones entre el usuario y proveedor).
31/01/25: Se inició las pruebas del entregable 10 en Calidad. Se continuan con las pruebas del entregable 7 (fase 2) con demora por parte del proveedor en resolver las observaciones; tambien se están realizando pruebas de integración del entregable 9.
31/12/24: A nivel entregables se encuentran en ejecución 4 entregables. 
OPLAFT 
El entregable 7 se encuentra a un 86 %. Se culmino la certificación de la Fase 1   (Productos y Perfiles).
Fraudes
El entregable 9 se encuentra a un  70 %.  Se definió el tema de las pruebas RT y NRT .
El entregable 10 se encuentra a un 65 %.
El entregable 12 se encuentra a un 92 % Se culmino la certificación.
24/10/24 El proyecto se encuentra en proceso de implementación, en base a una estrategia definida para sacar el proyecto en el presente año 2024 con el proyecto 7 y 12.
26/09/2023: En coordinación con Construcción se creó el ID de Proyecto, para almanenar toda la informacion referente al proyecto de forma integral en todas sus etapas de integración.</t>
  </si>
  <si>
    <t>Proyecto-Hijo</t>
  </si>
  <si>
    <t>No aplica</t>
  </si>
  <si>
    <t>Certificado</t>
  </si>
  <si>
    <t>5/12/2024: Según CQ, se actualizó el estado de 03. En Desarrollo a 05. En Calidad
13/12/2023: COMITÉ DEMANDA REGULARIZACIÓN: Se regulariza su registro según lo aprobado en comité
29/09/2023: Se observa retraso en las actividades por obervaciones encontradas en lo extractores, se estima se concluya el 06/10. Los roles y perfiles ya fueron unificados por los usuarios, se espera pruebas para validar que los roles funcionales y de seguridad funcionen correctamente. Pendiente que el proveedor concluya con sus actividades de desarrollo del componente de seguridad como de los procesos de consolidación y configuracion de reglas de PLAYFT.
26/09/2023: De acuerdo al compromiso de Construcción con GG, las obs de los extractores culminarán el 29/09.
19/09/2023: En coordinación con JRuiz y MArquiñigo los archivos extractores será remitidos hoy al proveedor con la validación a nivel de estructura. Respecto a las obs a nivel de data se seguirá revisando y corrigiendo hasta antes del pase a Calidad.
31/07/2023: Se actualizaron las fechas según lo conversado con Jorge Ruiz
19/06/2023: Se actualizó la fecha de fin de producción de acuerdo al cronograma de Sentinel.
17/05/2023: Se actualiza su prioridad (adquirida)
27/01/2023: Se avanzó el analisis y mapeo técnico de OPLAFT, se remitió al usuario para que valide y se envié luego a Fabrica para su desarrollo. Respecto a Fraudes, está pendiente que el usuario confirme la entrega del mapeo segun lo que indica las bases para continuar con el analisis y mapeo técnico.
----------------------------------------------------------------------------------
07/06: Líder técnico no está claramente definido. Indicado por MCarbajo
30/05: Gestor anterior. Omar Sarmiento
10/05: Luis García, solicita culminación de mapeo de datos de movimientos y transacciones de Mario Carbajo (3 semanas sin rpta del mail).
Se indicó que como hay sobrecarga laboral de Mario, de acuerdo a la reunión de hoy al medio día se validará dicha carga laboral con Carmen Iriarte. Mario depende de disponibilidad de tiempo de Carmen para tener dicha reunión.
24/03: Mario Carbajo indico que el 28/03 se incorporaria 1 recurso de OLSSA para mapeo y construcción de extractores.
15/03: Arquitectura compartio el TDR para el Middleware para revisión de las sub-gerencias del TI.
11/02: Ante la licencia solicitada por el líder de integración (Mario Carbajo) hasta el 08/03, queda como líder de integración Jorge Pazos.
10/02: Se identificaron y priorizaron las principales transacciones por Canal para la Entidad Movimiento y Transacciones.
03/02: Se entregó el Mapeo de datos para la Entidad Clientes. 02/02: Se continua con el mapo de entidades de cliente, y esto está demorando por encontrarse en diferentes BD (incluye Excel).
05/01: Se modifica las fechas al año y medio faltante que indicó el usuario se espera para concluir el proyecto.
04/01: La subdivisión de una sola actividad de mapeo de datos la cual se particiona en 5 mapeos. Productos (100%), Catálogos (100%), Data histórica (100%), Clientes (50%- Le falta una parte) y Movimiento y transacciones (0%- Banca celular, ventanilla, ATM y Told).
28/12: Solo una persona asignado (LI). Se ha avanzado el mapeo y extractores de catálogos y productos. El de clientes es más complejo. Transacciones y movimientos ya hubo reunión la semana pasada.La prox semana habrá reunión con Sentinel. 
22/12: De 5 partes del proyecto se ha mepado Productos, catálogos y una parte de clientes. Lo que es movimientos y transacciones aún no está contemplado como parte del mapeo.</t>
  </si>
  <si>
    <t>Rossana Rojas</t>
  </si>
  <si>
    <t>Asignado</t>
  </si>
  <si>
    <t>24/10/24 Segun lo coordinar con Omar Cribillero, Prestamos por IVR se encuentra en Producción y Prestamos por Agentes fué desestimado en el ulitmo comité de Proyectos.
27/06/2024 Se regulariza su registro en la demanda Estratégica.
10/06/2024: Se registró en el Backlog de requerimientos</t>
  </si>
  <si>
    <t>Pendiente</t>
  </si>
  <si>
    <t>31/12/24: Ciclos de pruebas en marcha (379 Ok / 617 Total). Se esta coordinando y resolviendo día a día con proveedor y TI. A la par ya culminaron con remitir solicitud de cambio y cronograma de actividades para que sea aprobado por el comité.
13/12/2024 El Proyecto se está certificando, se remitió nuevo cronograma con las nuevas fechas de implementación.
19/11/2024 Se aprobó un nuevo cronograma con fecha de incio del Piloto para Enero 2025. El proyecto se encuentra a un 74% de avance segun cronograma actualizado al 07 de Noviembre.
12/08/2024 Avance del Proyecto segun cronograma.
27/06/2024 Seregulariza su ingreso a la demanda estratégica.</t>
  </si>
  <si>
    <t>Aprobado</t>
  </si>
  <si>
    <t>13/12/2023: COMITÉ DEMANDA REGULARIZACIÓN: Se regulariza su registro según lo aprobado en comité</t>
  </si>
  <si>
    <t>2025-IV</t>
  </si>
  <si>
    <t>Procesado</t>
  </si>
  <si>
    <t>17/10/2024: Según CQ, se actualizó el estado de 04. Desarrollo Finalizado a 05. En Calidad
13/12/2023: COMITÉ DEMANDA REGULARIZACIÓN: Se regulariza su registro según lo aprobado en comité</t>
  </si>
  <si>
    <t>29/08/2024: Según CQ, se actualizó el estado de 03. En Desarrollo a 05. En Calidad
13/12/2023: COMITÉ DEMANDA REGULARIZACIÓN: Se regulariza su registro según lo aprobado en comité</t>
  </si>
  <si>
    <r>
      <rPr>
        <sz val="10"/>
        <color rgb="FF000000"/>
        <rFont val="Calibri"/>
      </rPr>
      <t xml:space="preserve">12/01/2026: Mediante correo del 07/12/2026, Luis Palacios Q. comunicó que las siguientes actividades del Realease 3 se encuentran pendientes de culminar para pasar a Producción:
- Revisión y firma de Actas de Conformidad de pruebas funcionales, (Usuario Secc. Canales Virtuales)
- Revisión del WorkBook de QR, nueva versión (4.0) - Cámara de Compensación E., (Marco Obando / Luis Palacios )
- Revisión de reportes contables (TEMENOS)
- Pruebas de seguridad, (TEMENOS / Oficina de Seguridad Informática)
</t>
    </r>
    <r>
      <rPr>
        <b/>
        <sz val="10"/>
        <color rgb="FF000000"/>
        <rFont val="Calibri"/>
      </rPr>
      <t xml:space="preserve">
04/12/2025: Mediante correo del 01/12/2025, Karin Robles indicó el estado de los siguientes requerimientos del Realise 3:
</t>
    </r>
    <r>
      <rPr>
        <b/>
        <sz val="10"/>
        <color rgb="FF4472C4"/>
        <rFont val="Calibri"/>
      </rPr>
      <t xml:space="preserve">Pendiente de coordinación para pasar a Producción - Responsable BACKBASE
</t>
    </r>
    <r>
      <rPr>
        <b/>
        <sz val="10"/>
        <color rgb="FF000000"/>
        <rFont val="Calibri"/>
      </rPr>
      <t xml:space="preserve">2024-M0299	Validación de identidad externa para enrolamiento en Cuenta DNI con registro de titular en línea: 05. En Calidad, 
</t>
    </r>
    <r>
      <rPr>
        <b/>
        <sz val="10"/>
        <color rgb="FF1923EB"/>
        <rFont val="Calibri"/>
      </rPr>
      <t xml:space="preserve">
</t>
    </r>
    <r>
      <rPr>
        <b/>
        <sz val="10"/>
        <color rgb="FF4472C4"/>
        <rFont val="Calibri"/>
      </rPr>
      <t xml:space="preserve">Pruebas de Usuario FUNCIONAL: En revisión de las actas de conformidad por los Usuarios.
Pruebas de RENDIMIENTO: Se cuenta con la APROBACIÓN del PO sobre los informes de Rendimiento
Pruebas de SEGURIDAD: Se envió el informe y reporte de las pruebas al Proveedor de BACKBASE para su revisión y validación en conjunto con el área de Seguridad.
</t>
    </r>
    <r>
      <rPr>
        <b/>
        <sz val="10"/>
        <color rgb="FF1923EB"/>
        <rFont val="Calibri"/>
      </rPr>
      <t>2</t>
    </r>
    <r>
      <rPr>
        <b/>
        <sz val="10"/>
        <color rgb="FF000000"/>
        <rFont val="Calibri"/>
      </rPr>
      <t xml:space="preserve">025-M0071	Transferencias interbancarias inmediatas en la Aplicación móvil de Cuenta DNI	05. En Calidad
2025-M0072	Transferencias Interbancarias inmediatas a Celular (búsqueda de contactos) y con código QR en la Aplicación móvil de Cuenta DNI	05. En Calidad
2025-M0372	Integración del Orquestador de Novatronic con el Core de Cuenta DNI par transferencias inmediatas a otros Bancos.	05. En Calidad
2025-M0280	Integración de Orquestador para Transferencia Inmediata desde Cta. DNI – Servidor para tarifario dinámico (3 ambientes).	05. En Calidad
27/11/2025: Mediante correo del 27/11/2025, Luis </t>
    </r>
    <r>
      <rPr>
        <b/>
        <sz val="10"/>
        <color rgb="FF1923EB"/>
        <rFont val="Calibri"/>
      </rPr>
      <t>Palacios indicóque presentaron una solicitud de cambio donde se estara llevando un mejor control del avance del proyecto, hasta el momento se han mantenido las fechas con los avances porcentuales correspondientes.
05/09/2025: Mediante correo del 04/09/2025, Luis Palacios indicó el estado de las siguientes actividades:
-	Transferencias inmediatas de entrada: Entrega pendiente de API por NOVATRONIC.
-	Transferencias Internas CTA-DNI a CTA-BN: pendiente el inicio de pruebas. BACKBASE propone realizar pruebas con postman al API de Novatronic.
-	Depósito / Retiro en Agentes Corresponsales – Entrega pendiente de API por NOVATRONIC.
-	Depósito / Retiro en Ventanilla – Inicio de pruebas integrales con SARAWEB (29.09.25).
Está pendiente que el usuario gestione la ampliación de plazo e informar a Planeamiento.
25/07/2025:• MP2 (R3) Se han culminado las pruebas funcionales (2do ciclo) en Calidad. Está pendiente la atención de las observaciones por parte del proveedor para dar inicio al 3er ciclo de pruebas. Está pendiente ejecutar las pruebas de rendimiento. Se estima su pase a producción agosto 2025
• MPV 3 (R4) Se encuentra con un avance de 50%, se entregó las Especificaciones técnicas de las APIs para el desarrollo de Novatronic para agentes y transferencia de entrada. En proceso el desarrollo de retiro y deposito por ventanilla. Luego de ello se realizará una prueba integral. Se estima su pase a producción Nov_2025.
En coordinaciones con usuario para la actualizacion del cronograma.
7/07/2025:  Según lo informado por el usuario LPalacios mediante correo del 17.07 indico:
• MP2 (R3) Se encuentra con un avance de 90% quedando pendientes ejecutar las pruebas de rendimiento. Se estima su pase a producción agosto 2025
• MPV 3 (R4) Se encuentra con un avance de 50%, se entregará las Especificaciones técnicas de las APIs para el desarrollo de Novatronic. Luego de ello se realizará una prueba integral. Se estima su pase a producción Nov_2025
Estas fechas deberían ser comunicado a la Gerencia de Planeamiento.
11/06/2025:Según la información enviada de Planeamiento en el mes de Mayo se precisa lo siguiente:
Durante la ejecución de las pruebas integrales en el entorno de desarrollo, en las que participan los tres proveedores (Backbase, Temenos y   Novatronic), se han identificado incidencias relacionadas con la conexión a la Cámara de Compensaciones y con los tiempos de respuesta en las operaciones correspondientes al proceso de interoperabilidad (transferencias interbancarias inmediatas y pagos con QR).
-Estas situaciones vienen siendo atendidas de manera conjunta por Novatronic, Temenos y el Banco de la Nación.
03/06/2025: Según la información enviada de Planeamiento mediante correo respecto al proyecto en el mes de abril se tiene que: Durante las pruebas integrales (participación de los 3 proveedores) se presentó incidencias con el tarifario dinámico que interactúa con todo el proceso de interoperabilidad (transferencias interbancarias inmediatas, pago con QR) la que está siendo atendidas por Novatronic. Asimismo, el proveedor Tenemos, presentó incidente en la data que se trasmite al core T24. Se realizan reuniones de seguimiento 2 veces al día para el seguimiento de las pruebas y corrección de los incidentes
Se estima culminar las pruebas en desarrollo la primera semana de mayo iniciar pruebas en el ambiente de Calidad.
07/05/2025: Según la información enviada por Planeamiento mediante correo: Se continúan las pruebas en desarrollo de  las funcionalidades de transferencias inmediatas, por contacto y QR  con el proveedor BACKBASE, TEMENOS y NOVATRONIC.
Se mantienen las pruebas en desarrollo de las funcionalidades de retiro y deposito en agente BN y para retiro y depósito en ventanilla con el proveedor TEMENOS y el BN.
31/12/2024: Las áreas usuarias validaron las funcionalidades de retiro y depósito en Ventanilla y se procedió con la generación del Anexo 2 para solicitar la inscripción en el Clear Quest. Se continúan coordinando con el proveedor Temenos para correcciones. Siguen en construcción la funcionalidad de transferencias Q
23/05/24 Mediante comité estratégico de proyectos con fecha 06.05.24 se aprobó el control de cambios del proyecto.Esto implica nuevas actividades y actualizacion en el cronograma. TI solicitará al usuario remtiir anexo 1 actualizado.
08/04/24 Se cambió la fecha de Fin de proyecto a 2025
20/03/24 Usuario remitió modelo de negocio y se registró en la demanda estrategica de TI, sin embargo se encuentra pendiente que el usuario remita modelo de negocio actualizado. Está retrasado porque el proveedor no contempló dentro del cronograma actividades funcionales que son necesarias para el proytecto. Presentarán un control de cambios a nivel de alcance, tiempo y presupuesto.
03/06/2025: Según la información enviada de Planeamiento mediante correo respecto al proyecto en el mes de abril se tiene que: Durante las pruebas integrales (participación de los 3 proveedores) se presentó incidencias con el tarifario dinámico que interactúa con todo el proceso de interoperabilidad (transferencias interbancarias inmediatas, pago con QR) la que está siendo atendidas por Novatronic. Asimismo, el proveedor Tenemos, presentó incidente en la data que se trasmite al core T24.
Se realizan reuniones de seguimiento 2 veces al día para el seguimiento de las pruebas y corrección de los incidentes
Se estima culminar las pruebas en desarrollo la primera semana de mayo iniciar pruebas en el ambiente de Calidad.
30/04/25: Según lo informado por el usuario LPalacios mediante correo, la fecha fin del proyecto que estaba proyectado de culminar en abril ahora se indica lo siguiente: 
• Transferencias inmediatas: Fines de mayo a quincena de junio.
• Depósito / Retiro en Ventanilla: Fines de mayo a quincena de junio.
• Depósito / Retiro en agentes: fines de junio a quincena de julio.
04/04/25: Según lo informado por el usuario LPalacios mediante correo del 28/03, la fecha fin del proyecto estaba programado para el 30 de marzo, sin embargo, todavía existe dependencias de los proveedores, por lo que se proyecta culminar con el Proyecto el 30 de abril..
28/02/2025: Transferencias Interbancarias Inmediatas (CCI, QR, Contacto), Transferencias Internas CTA-BN a CTA-DNI, Retiro/Depósito Agentes Corresponsales, Retiro y Depósito en Ventanilla se encuentran en Desarrollo. Usuario remitió 1 nuevo requerimiento asociado al Proyecto, el mismo que se encuentran en Desarrollo
21/03/25: Mediante correo del 21/03/25 de Planeamiento se indica:
Se encuentra en pruebas de desarrollo las funcionalidades de transferencias inmediatas, por contacto y QR  con el proveedor BACKBASE, TEMENOS y NOVATRONIC. Se han culminado las pruebas en certificación para las funcionalides de Generación de Estados de Cuenta y Cambio de CCI con el proveedor TEMENOS. Para la quincena de marzo se espera el pase a producción
17/01/25 En proceso de atención 
28/01/25 El desarrollo asociado a Saraweb (2024-M0299-Validación de identidad externa para enrolamiento en Cuenta DNI con registro de titular en línea) está culminado. A espera que el proveedor realice el cambio en su API para retomar las pruebas de integración. Usuario remitió 3 nuevos requerimientos asociados al Proyecto, el mismo que se encuentran en Planificación.
31/12/24: Las áreas usuarias validaron las funcionalidades de retiro y depósito en Ventanilla y se procedió con la generación del Anexo 2 para solicitar la inscripción en el Clear Quest.
Se continúan coordinando con el proveedor Temenos para correcciones.
20/03/24 Usuario remitió modelo de negocio y se registró en la demanda estrategica de TI, sin embargo se encuentra pendiente que el usuario remita modelo de negocio actualizado. Según lo informado por Planeamiento, el Py está retrasado porque el proveedor no contempló dentro del cronograma actividades funcionales, que son necesarias para el proyecto. Presentarán un control de cambios a nivel de alcance, tiempo y presupuesto e informarán a TI.
16/02/2024: COMITE EXCPECIONAL: Se realiza su priorización
El Proyecto fue priorizado por el Ejecutivo de Proyecto, se tiene el Anexo 1 - Modelo de Negocio. Usuario remitó requerimiento para enrolamiento con Bioemtría facial.</t>
    </r>
  </si>
  <si>
    <t>2025-II</t>
  </si>
  <si>
    <t>09. Finalizado</t>
  </si>
  <si>
    <t>17/07/2025: El Proyecto Culminó en el mes de abril2025.
11/06/2025:Según la información enviada de Planeamiento en el mes de Mayo se precisa lo siguiente:
El Equipo Técnico del proyecto informó que, se culminó con la implementación al 100%. 
Asimismo, se presentó el avance de las siguientes actividades:
      Implementación:
	Ejecución: 100% (finalizado)
	Monitoreo y Control: 100% (finalizado)
	Cierre 100% (finalizado)
03/06/2025: Según la información enviada de Planeamiento mediante correo respecto al proyecto en el mes de abril se tiene que: El proyecto ha sido culminado. Fin del Proyecto.
21/05/2025: Según el Acta de Reunión N°04-2025 del Comité de Proyectos, se enviará a Planeamiento el Acta de Cierre del Proyecto y el fomato de lecciones aprendidas en las próximas semanas.
07/05/2025: Según la información remitida por Planeamiento mediante correo: A nivel tareas, actualmente se encuentra en la Etapa de Implementación del Proyecto.
El Equipo Técnico del proyecto informó que, solo faltan instalar 45 equipos de 547 nuevos equipos en la Red de Agencias. Además, se revisaron posibles riesgos y desafíos que podrían impactar el cronograma, con el objetivo de tomar medidas preventivas y correctivas.
Finalmente, se comunicó que las actividades del proyecto se vienen realizando de acuerdo a lo planificado.
Asimismo, se presentó el avance de las siguientes actividades:
•	Implementación:
	Ejecución: 96% (en proceso)
	Monitoreo y Control: 97% (casi finalizado)
31/12/2024: *Se instalaron 280 switches para las sedes administrativas así como la implementación de los servidores plataforma de gestión, la solución NAC y Control de accesos. Dado esto, se viene realizando la entrega de la conformidad del servicio para el pago correspondiente por esta primera etapa.
* Los usuarios de Canales Virtuales y Red de Agencias solicitaron no realizar trabajos durante esta semana por lo que se suspenden las actividades hasta el mes de enero.
23/05/24 Validar si se firmó el contrato. A espera que el proveedor entregue el plan de trabajo.
25/04/2024 Mediante Memo N° 63-2024-BN2810 en que se entrega la nueva lista de proyectos con componente TI se genera cambio en el lider del proyecto de José Macedo a Alejandro Sifuentes 
25/04/2024 Mediante Memo N°60-2024-BN2810 se informa que se requiere el informe de las razones del retraso del proyecto asi como sus acciones correctivas para la presentación al comité del 26.04 
20/03/24 Esta en proceso logistico (analisis de oferta y la buena pro se dará en marzo). Presentarán un nuevo cronograma con control de cambios.
03/06/2025: Según la información enviada de Planeamiento mediante correo respecto al proyecto en el mes de abril se tiene que el proyecto ha sido culminado.
21/05/2025: Según el Acta de Reunión N°04-2025 del Comité de Proyectos, se enviará a Planeamiento el Acta de Cierre del Proyecto y el fomato de lecciones aprendidas en las próximas semanas.
30/04/2025: El Equipo Técnico del proyecto informó que, se culminó con la implementación al 100%. Finalmente, también se comunicó que las actividades del proyecto se realizaron de acuerdo a lo planificado.
Se comunicará y se enviará a la G. de Planeamiento el Acta de Cierre de proyecto y lecciones aprendidas
31/03/2025: Las actividades del proyecto se vienen realizando de acuerdo a lo planificado.
Actualmente, solo faltan instalar 45 equipos de 547 nuevos equipos en la red de agencias.
21/03/25: Mediante correo del 21/03/25 de Planeamiento se indica:
El Equipo Técnico del proyecto seguirá apoyando al proveedor en la instalación de switches en lobbys, agencias y oficinas especiales, reafirmando su compromiso con el éxito del proyecto.
Para asegurar el cumplimiento del cronograma, el Equipo Técnico hará un seguimiento constante del avance de la instalación e informará sobre los hitos alcanzados. Si es necesario, se gestionará un control de cambio para ajustar el cronograma a las nuevas fechas y mantener la alineación con los objetivos del proyecto.
28/02/2025: El Equipo Técnico del proyecto informó que, desde febrero, ha estado brindando apoyo al Proveedor en la instalación de Switches en lobbys, agencias y oficinas especiales. Además, se revisaron posibles riesgos y desafíos que podrían impactar el cronograma, con el objetivo de tomar medidas preventivas y correctivas.
Asimismo, se presentó el avance de las siguientes actividades:
•	Implementación:  Planificación: 100% (completada) , Ejecución: 48% (en proceso), Monitoreo y Control: 94% (casi finalizado)
17/02/2025:  El Proveedor esta realizando las actividades segun lo planificado en el nuevo cronograma, al respecto  el Equipo Técnico del proyecto en caso de que sea necesario, solicitará un control de cambio, a fin de ajustar el cronograma conforme a las nuevas fechas. 
31/01/2025:Se informa que el 13.01.2025 el BN recibe la solicitud de ampliación de plazo N°01 presentada por el contratista CONSORCIO ALFIL CONSULTORIA Y COMUNICACIONES S.A.C. - ADISTEC PERU S.A.C. donde solicitan 32 (treinta y dos) días calendario de ampliación del plazo contractual al contrato esto debido a que en el mes de diciembre 2024, las actividades fueron suspendidas a pedido del área usuaria (Sección Canales Presenciales de la Subgerencia Canales Alternos de la Gerencia Banca Digital).  El 25/01/2025, la Sección Soporte de la Infraestructura emite el informe N° 022-2025-BN/2574 solicitado por la Sección Seguimiento Administrativo de contratos mediante Memorando N° 041-2025-BN/2664 el 14/01/2025.
Finalmente, el  27/01/2025, Mediante Resolución de Gerencia de Administración y Logistica N° 007-2025-BN/5500, declara procedente la solicitud de ampliación de plazo N°01 presentada por el contratista CONSORCIO ALFIL CONSULTORIA Y COMUNICACIONES S.A.C. - ADISTEC PERU S.A.C. con fecha 13/01/2025, toda vez que cumple con los requisitos establecidos por ley.
31/12/24: *Se instalaron 280 switches para las sedes administrativas así como la implementación de los servidores plataforma de gestión, la solución NAC y Control de accesos. Dado esto, se viene realizando la entrega de la conformidad del servicio para el pago correspondiente por esta primera etapa.
* Los usuarios de Canales Virtuales y Red de Agencias solicitaron no realizar trabajos durante esta semana por lo que se suspenden las actividades hasta el mes de enero.
13/12/2024:  Se informó el avance de las siguientes actividades: Planificación: 95%, Ejecución: 40%, Monitoreo y Control: 82%.. Se culminó con la instalacion en la Sede Principal de San Borja y Elizalde. Nos informaron que el nuevo Líder Técnico es el analista Alberth Rivera 
08/11/2024: Se informó el avance de las siguientes actividades: Planificación: 95%, Ejecución: 34%, Monitoreo y Control: 68%. Solo queda pendiente la instalación de switches en el piso 1 y el Network Access Control – NAC, progreso al 80%.
26/09/2024: Se informó el avance de las siguientes actividades: Planificación: 95%, Ejecución: 17%, Monitoreo y Control: 53% 
09/08/2024: Durante el mes de agosto se realizarán actividades de instalación de Switches en el Local de Elizalde y San Borja. Actualmente se encuentra en la Etapa de Implementación del Proyecto y se realizan las actividades según el Plan de Trabajo presentado por el Proveedor.
11/07/2024: Se acepto el Control de Cambio para sincerar las fechas del cronograma de actividades, el Proyecto se desarrolla segun lo planificado.
21/06/24 El 02/05/2024 se firmó el Contrato y el 17/05/2024 se realizó la reunión de kickoff con la presentación y aprobación del Plan de Trabajo por parte del Proveedor. Actualmente se encuentra en la Etapa de Implementación del Proyecto, asimismo el Equipo del proyecto presentó Control de Cambio a la Gerencia de Planeamiento, para sincerar las fechas del cronograma.
03/05/24 La buena pro se dio el 22/03/24, actualmente se están revisando los documentos para la firma del contrato.
Proyecto aprobado por P&amp;D y comunicado a TI mediante MEMORANDO N° 00000201 - 2023-BN/2810</t>
  </si>
  <si>
    <t>30/12/2025: Según el acta de reunión del comité de proyectos, se debe entregar el cronograma firmado según el último control de cambios (noviembre 2025) y enviarlo vía STD a la Gerencia de Planeamiento y Control de Gestión. Asimismo, Banca Digital debe presentar el informe de evaluación costo–beneficio sobre las propuestas de alquiler de ATM’s.
05/09/2025 BN viene realizando la configuración del Zytrust para el ambiente de Desarrollo. El proveedor ha solicitado usuarios del Active Directory para el Zytrust y se está agendando reunión con el equipo de seguridad. Sobre los controles EMV, equipo de Seguridad Informática precisa que la validación EMV es un control requerido por la SBS, esta pendiente el pronunciamiento del Proveedor y realizarse reunión con la participación del Oficial de Cumplimiento y el Área Usuaria.
El 29/08 se remitió al Proveedor observaciones al Plan de continuidad.
El equipo de Construcción remitió la documentación de las APIs.
El 29/08 se remitió al Proveedor observaciones al Plan de continuidad.
El equipo de Construcción remitió la documentación de las APIs
25/07/2025: Usuaria MCarbajo confirmó el inicio de la Etapa de implementación a partir del 15/07, fecha en la cual el Quiosco fue internado en el laboratorio de la sede principal del BN, respecto al cual se están realizando coordinaciones con el Proveedor para efectuar la instalación y/o configuración del Quiosco. El BN-Construcción se encuentra desarrollando las APIs segun flujos definidos en el Modelo de Negocio. De acuerdo a revisión conjunta con el area usuaria de la matriz de riesgos, se requiere una actualización del Anexo1-modelo de negocio. Pendiente actualizar cronograma en coordinación con el Proveedor y usuarios.
17/07/2025: TI remitió el 11/07 los informes de conformidad a Banca Digital de acuerdo a su competencia. Banca digital confirmó el inicio de la etapa de instalación, configuración y desarrollo de la aplicación a partir del 15/07 (Por 90 días). El día 15/07 se realizo el internamiento del quiosco en el laboratorio del BN (Oficina Principal). Se agendarán reuniones para revisar el cronograma y definir las actividades técnicas y plazos.
07/07/2025: Los Informes de COnformidad de equipos se encuentran en proceso de emision para ser reportados a Banca Digital.
11/06/2025:Según la información enviada de Planeamiento en el mes de Mayo se precisa lo siguiente:
Las áreas de Sección Soporte de la Infraestructura Tecnológica y Atención a Usuario, Sección Sistemas Bancarios, Sección Canales Presenciales y Subgerencia de Innovación digital ya verificaron los equipos de quioscos multimedia ingresados al almacén del Banco y está en proceso la firma de las actas de conformidad respectivas de cada área.
Se espera tener el flujo funcional cerrado, para ello se esta realizando las reuniones de entendimiento entre las áreas responsables.
03/06/2025: Según la información enviada de Planeamiento mediante correo respecto al proyecto en el mes de abril se tiene que: Se recepcionó los quioscos multimedia en el almacén del Banco y se inició las coordinaciones para proceder a la verificación de los equipos durante el mes de mayo. Cabe resaltar que el proveedor efectuó la referida entrega con antelación, dado que estuvo planificada para el mes de julio.
07/05/2025: Según la información enviada por Planeamiento mediante correo: Se encuentra en proceso la definición del esquema de integración de los quioscos con el core del Banco para la transacción de reposición de tarjeta, lo que permitirá continuar con las actividades que se tenían planificadas, 
31/12/2024: Se completó la firma del contrato con la empresa ganadora y se tiene un cronograma con control de cambios aprobado por el Comité de proyectos
23/05/24 Mediante comité estratégico del proyecto con fecha 06.05.24 se informa que se aprobó el control de cambios, que implica un nuevo cronograma; el alcance se mantiene.
15/05/2024 Mediante correo de Marita Carbajo entrega ETMS actualizados y deja constancia que con memo N°568-2024-BN-2662 hay consultas de Belltech de ser necesarias agregarlas a ETMS.
02/05/2024 Mediante correo de Hector Sevalla se da a conocer los temas e implementaciones que puede tener el proyecto, se deja en conocimiento la inclusión a un sistema ESP/LINK, aumento de funcionalidades de ATM e inclusión de BEVERTEC. A la espera de agendarse reunión para 02.05 y consolidar los temas pendientes.
26/04/2024 Mediante correo se espera la actualización del documento Anexo 1 que debe ser remitido por el área correspondiente por tener observaciones en el nombre del proyecto y falta de fecha del proyecto. Asi mismo, se espera la solicitud de validación del cronograma del proyecto. Mediante correo se pide reagendar reunión y confirmar la asistencia a esta del Subgerente de Construcción de aplicaciones.
25/04/2024 Mediante correo de Marita Carbajo se da conocimiento de la consulta en coordinacion de Construcción de aplicaciones y el proveedor sobre el intercambio de llaves para que el Kiosko se comporte como un ATM. Se pide agendar reunión para el 26.04 con miembros de TI
24/04/2024 Se entrega vía correo por parte de Marita Carbajo el Anexo 1"Modelo de Negocio".
24/04/2024 Se recibe el correo envíado por Marita Carbajo en el que se notifica la entrega de documentación de Viabilidad Técnica, Modelo funcional y Cronograma del proyecto. Se pide enviar el Modelo de Negocio - Anexo 1
08/04/24 Se realizó cambio de fecha de fin de proyecto de 2023 a 2025
20/03/24 Usuario se encuentra resolviendo las observaciones de las ETMs en coordinación con Logística. Habra un control de cambios, en base al cronograma que presentará el usuario. Pendiente que el usuario remita modelo de negocio para registrar el Proyecto en la demanda estrategica priorizada.
Modelo de Negocio Observado
03/06/2025: Según la información enviada de Planeamiento mediante correo respecto al proyecto en el mes de abril se tiene que: Se recepcionó los quioscos multimedia en el almacén del Banco y se inició las coordinaciones para proceder a la verificación de los equipos durante el mes de mayo. Cabe resaltar que el proveedor efectuó la referida entrega con antelación, dado que estuvo planificada para el mes de julio.
02/06/2025 El 22/5/2025 se programó la visita de las áreas respectiva para la verificacion de levantamiento de observaciones. Banca Digital mediante Memo: N° 00000063 - 2025-BN/7920 del  26/05/2025, remitió a TI, las licencias pendientes de Quioscos por parte de contratista, los cuales fueron envidas a las áreas responsables de Banco para su revisión y elaboración de informe u observaciones.
09/05/2025  El 25/4/2025 el contratista entrego los equipos , mediante Guía De remisión N° T003-146; El 30/4/2025 se realizó la primero verificación física  de equipos y el 8/5(2025 se realizo la segunda revision,  se remitio informe via correo a Banca Digital; El 06/5/2025 se realizó reunión entre Bevertec , Belltech y Banco de la Nación para definir el tema de las API
04/04/2025: TI remitió informes técnicos con MEMORANDO N° 00000021 - 2025-BN/2542 y MEMORANDO N° 00000036 - 2025-BN/2542 con observaciones, respecto a las coordinaciones iniciales con el proveedor se solicitó al líder usuario que coordine con Legal, Logística y Planeamiento resolver las divergencias con el Proveedor.
21/03/25: Mediante correo del 21/03/25 de Planeamiento se indica:
Se continuó efectuando las reuniones de entendimiento técnico y funcional entre los equipos del BN y Proveedor, sobre los flujos funcionales y técnicos, arquitectura, encriptamiento de disco, flujo de pantallas y prototipos, entre otros.
03/03/25: Se están ejecutando reuniones de entendimiento con el Proveedor, se revisaron los flujos con el area usuaria, además de la arquitectura y prototipos funcionales.
28/01/25 Se está realizando reuniones técnicas/funcionales con el equipo técnico involucrado, usuarios y Proveedor.
03/03/25: El equipo de TI, remitió informe respecto a los aspectos técnicos que deben de tomar en cuenta el proveedor para la implementación del proyecto. En reuniones periódicas para delimitar el alcance. 
24/10/24 Se encuentra en Logística - comité de selección (absolución de consultas)
03/05/24: Anexo 1 recibido el 12/04/24. Actualmente se encuentra en modificación de TDR por estudio de mercado y en taller de riesgos. Responsable Actual Sub. Arquitectura de TIC</t>
  </si>
  <si>
    <t>09/05/2024: Se registró en la demanda integral</t>
  </si>
  <si>
    <t>10. Descartado</t>
  </si>
  <si>
    <t>23/19/2025: Se descarta por duplicidad ID 1751
21/05/2024: Se registró en la demanda integral y estrategica.</t>
  </si>
  <si>
    <t>23/19/2025: Se descarta por duplicidad ID 1752
21/05/2024: Se registró en la demanda integral y estrategica.</t>
  </si>
  <si>
    <t>25/10/2024 De acuerdo a lo coordinado con ARisco el Desarrollo está terminado. En paralelo se está realizando el desarrollo en Saraweb, posterior a ello se podra realizar la prueba en desarrollo y efectuar el pase a Calidad.
28/05/2024: Se registra en la demanda integral y estrategica. El requerimiento es hijo del Proyecto Cuenta DNI (ID padre 2056).</t>
  </si>
  <si>
    <t>05. En Calidad</t>
  </si>
  <si>
    <t>14/01/2026 EEl Proyecto tuvo un retraso por parte del Proveedor en la entrega de la documentación del ciclo de vida de software, requisito para el pase a Calidad, motivo por el cual el pase a calidad se realizó el 16/12/25, a partir del cual se inició el proceso de despliegue hasta el 12/01/26. El avance de las pruebas previas de Calidad es del 11% y se ejecutará del 13 al 18/01. Las pruebas de usuario, se llevará a cabo del 19/01 al 23/01. Se estima pase a producción fines del mes de enero, considerando que el Proveedor haya resuelto todos los defectos y haya subsanada las vulnerabilidades
15/12/2025 Con fecha de hoy, se aprobó el pase a Calidad. Las vulnerabilidad detectadas fueron asumidas por el area de Riesgos (ver correo de fecha jueves, 11 de diciembre de 2025 10:00 replicado por Leslie Vallejos). A la fecha, en coordinación con el Proveedor se están inciando las actividades de despliegue en el ambiente de Certificación para lueo iniciar con las pruebas de usuario. 
10/10/2025: El area líder del Proyecto elaboró el plan actualizado 
05/09/2025: El proveedor en coordinación con TI-BN realizaron el despliegue de los microservicios en desarrollo para integrar con Oracle e Ivanti, siendo exitosa la prueba. El proveedor remitió plan para para culminar el 19/09 la integración de ISIM con BN. Se tendrá reunión el 09/09 para revisar la arquitectura y para configurar las licencias de RedHat. El usuario viene compartiendo con TI los casos de prueba para revisar el cumplimiento del formato solicitado.
Está pendiente que el usuario gestione la ampliación de plazo e informar a Planeamiento.
25/07/2025: La integración con ISIM-IBM presenta error y continua en revisión del Proveedor. Sobre los Casos de Prueba, se encuentra en proceso de elaboración del lado proveedor en coordinación con los usuarios de cada módulo. Respecto a los nuevos servidores solicitados para los reportes de los usuarios, el equipo de TI manifestó que no se encuentra especificado en los TDR por lo que se recomendó coordinar con Logística.
11/06/2025:Según la información enviada de Planeamiento en el mes de Mayo se precisa lo siguiente:
Hay retrasos en las tareas de reportería, conector ISIM, pruebas, etc., Estos se deben a la alta dependencia de Telefónica con su partner Global Suite. 
En abril se reporto avance de 43%,  proyecto tiene fecha de fin julio 2025.
03/06/2025: Según la información enviada de Planeamiento mediante correo respecto al proyecto en el mes de abril se tiene que: Los retrasos en las tareas como reportería, conectores ISIM, etc., se deben a la dependencia de Telefónica con su partner GlobalSuite. Adicionalmente, la limitada flexibilidad del proveedor para ofrecer alternativas a los impases está generando demoras en los ajustes y aprobaciones del área de riesgo
07/05/2025: Según la información remitida por Planeamiento mediante correo: Se han completado 4 de los 15 entregables. El quinto está retrasado por incumplimientos de Global Suite. Por lo que se espera sean superadas en abril.
31/12/2024: Esta en ejecución las tareas: Instalación, Parametrización, Conversión y Migración que tienen retrasos de hasta 7 meses ,debido a las integraciones con las Aplicaciones IVANTI y Oracle y las pruebas de los módulos nuevos con los usuarios.
22/05/24 Usuario presentará un control de cambios; confirman que culminan este año 2024. Contrato firmado el 15/05/24, revisar Memo 086-2024/2182 donde solicitan apoyo de TI.AO24
03/05/2024 En proceso logístico para el otorgamiento de Buena pro
08/04/24 Se ha cambiado la fecha de Fin de proyecto de 2025 a 2024.
20/03/24 Está retrasado en la suscripcion del contrato. Se agendará una reunión para revisar las siguientes actividades que involucra a TI según cronograma. Pendiente que el usuario remita modelo de negocio para registrar el Proyecto en la demanda estrategica priorizada.
Pendiente envío Modelo de Negocio
03/06/2025: Según la información enviada de Planeamiento mediante correo respecto al proyecto en el mes de abril se tiene que: Los retrasos en las tareas como reportería, conectores ISIM, etc., se deben a la dependencia de Telefónica con su partner GlobalSuite. Adicionalmente, la limitada flexibilidad del proveedor para ofrecer alternativas a los impases está generando demoras en los ajustes y aprobaciones del área de riesgo
08/05/25: Está pendiente que el Proveedor realice la integración con ISIM y la elaboración de los Casos de Prueba para el inicio de las pruebas en el ambiente de Desarrollo
09/04/25 Segun reunión con el usuario 
04/04/2025 En coordinación con LCachuan se tiene el sgte estatus: Las configuraciones de las vistas del lado del proveedor se encuentran en proceso, el proveedor concluyó la integración con Ivanti a 100%; En coordinaciones para crear el grupo en AD; La integración con ISIM debió culminar el 31/03 (retraso por entrega de los servidores), Usuarios se encuentran revisando la malla de roles y perfiles en coordinación con el proveedor; el proveedor debe concluir con los casos de prueba para que el usuario pueda iniciar sus pruebas en desarrollo (aprox. mayo 2025).
21/03/25: Mediante correo del 21/03/25 de Planeamiento se indica:
Aprobado el control de cambios se está realizando el proceso de actualización del cronograma detallado del proyecto por parte del Proveedor Telefónica y asimismo continua el proceso de implementación de las funcionalidades del software.
03/03/25: La integración con el AD  está concluido. El desarrollo-BN de las vistas en Oracle está terminado al 100% (sigue su flujo de ciclo de vida de sw). La integración con Ivanti esta siendo desarrollado por el proveedor de Telefónica. La integración con ISIM por parte del proveedor está al 80%. El formato de Roles y Perfiles está en proceso a cargo del usuario y el proveedor. 
31/01/25: Se validó la integración con AD-GlobalSuite. Usuario dió conformidad a las vistas desarrolladas en Oracle-BN. Proveedor está desarrollando la integración con Invanti, e-mail y el componente de ISIM. Pendiente que el proveedor remita casos de prueba de cada módulo. Usuario se encuentra elaborando el formato 7 de roles y perfiles.
28/01/25: En reuniones técnicas / funcionales con el proveedor y usuariosm hasta la 1ra semana de febrero.
31/12/24: Esta en ejecución las tareas: Instalación, Parametrización, Conversión y Migración que tienen retrasos de hasta 7 meses ,debido a las integraciones con las Aplicaciones IVANTI y Oracle y las pruebas de los módulos nuevos con los usuarios.
24/10/24 Segun lo informado por Luis Cachuan: En Oracle está listo el desarrollo de las vistas, pendiente reunion con el Proveedor para definir como consumir las vistas. Con Ivanti presentaron una cotización para implementar el flujo, usuario está coordinando reunión con telefónica para determinar como se realizará dicha atención. La arquitectura se encuentra aprobada. Con respecto a la integración con AD, el usuario se encuentra completando formato para generar la cuenta de Integración. En paralelo el Proveedor esta atiendo en el propio aplicativo con data de prueba proporcionada por el area usuaria.
27/06/24 Se aprueba su ingreso a la demanda estrategoca.
13/06/2024: Se registró en el Backlog de requerimientos</t>
  </si>
  <si>
    <t>07/07/2025: El proyecto ha sido cerrado formalmente, luego de la culminación exitosa de la negociación entre el Banco de la Nación y el Tribunal Constitucional, mediante la cual se amplió el plazo de cesión de uso de los ambientes ocupados por el Data Center Alterno, extendiéndose del 06 de octubre de 2026 al 06 de octubre de 2029.
Ejecutado 26% y planificado  98%
11/06/2025:Según la información enviada de Planeamiento en el mes de Mayo se precisa lo siguiente:
El Equipo Técnico continuará con el seguimiento de las actividades relacionadas con la condición suspensiva, asegurando su cumplimiento dentro del plazo estipulado.
Con la aceptación de la minuta y la culminación de las actividades suspensivas, el proyecto alcanza su fase de cierre. 
Se procederá con el envío del informe y el formato de cierre de proyecto, incluyendo las lecciones aprendidas.
03/06/2025: Según la información enviada de Planeamiento mediante correo respecto al proyecto en el mes de abril se tiene que: A nivel tareas,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(10/2029).
21/05/2025: Según el Acta de Reunión N°04-2025 del Comité de Proyectos, la Gerencia líder debe esperar la respuesta del Tribunal Constitucional para elaborar el Acta de Cierre del Proyecto y el formato de captura de lecciones aprendidas.
07/05/2025: Según la información remitida por Planeamiento mediante correo: A nivel tareas,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(06 oct 2029).
31/12/2024: El proyecto se encuentra a la espera de la respuesta del Tribunal Constitucional para que indiquen si el tiempo de permanencia del centro de datos se aplaza o no.
23/05/24 TI concluyo con la alaboración del TDR, pendiente envío a Logistica para inicio de estudio de MErcado.
03/05/2024 En elaboración de TDR's y otros documentos para iniciar el estudio del mercado.
25/04/2024 Mediante Memo N° 63-2024-BN2810 en que se entrega la nueva lista de proyectos con componente TI en el mismo se registra nuevo Lider del proyecto por lo que se procede al cambio correspondiente de José Macedo a Alejandro Sifuentes. 
10/04/2024 Con correo se envía el memorando N°00000044-2024-BN/2810 "Retraso de envío de información"  comunica que el pedido fue atendido mediante memorando 00000012-2024-BN/2540 a la fecha de 08.04.2024.
Proyecto fue aprobado por el Comité ejecutivo de Proyectos el 27.03.2024 solicitando ajustes a los documentos iniciales que fueron atendidos y enviados por medio de correo.
06/06/2025: El Equipo Técnico continuará con el seguimiento de las actividades relacionadas con la condición suspensiva, asegurando su cumplimiento dentro del plazo estipulado.
Con la aceptación de la minuta y la culminación de las actividades suspensivas, el proyecto alcanza su fase de cierre. Se procederá con el envío del informe y el formato de cierre de proyecto, incluyendo las lecciones aprendidas.
03/06/2025: Según la información enviada de Planeamiento mediante correo respecto al proyecto en el mes de abril se tiene que: A nivel tareas,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(10/2029).
21/05/2025: Según el Acta de Reunión N°04-2025 del Comité de Proyectos, la Gerencia líder debe esperar la respuesta del Tribunal Constitucional para elaborar el Acta de Cierre del Proyecto y el formato de captura de lecciones aprendidas.
08/05/25: Se coordinará con el líder técnico de producción para el cierre del proyecto de Traslado de Centro de Cómputo de San Isidro y se informará a la Gerencia de Planeamiento.
30/04/2025: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(10/2029).
31/03/2025: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estamos a la espera de la respuesta formal del Tribunal Constitucional al proyecto enviado el 7/03/2025 por la Gerencia General, donde se propone una ampliación de plazo por la cesión de uso de espacio físico donde se aloja el Data Center hasta por tres (03) años (06 oct 2029),
21/03/25: Mediante correo del 21/03/25 de Planeamiento se indica: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28/02/2025: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la Gerencia Legal está elaborando el informe sobre la viabilidad legal de la modificación del contrato, así como la minuta correspondiente.
17/02/2025:El 12/02/2025 el Tribunal Constitucional respondió mediante comunicación formal indicando que la propuesta del BN se encuentra en evaluación y que, para continuar con el proceso de aprobación, es necesario remitir un proyecto de adenda. En ese sentido, el área legal del BN ya se encuentra trabajando en la elaboración de dicha propuesta. 
31/01/2025: A la espera de la respuesta formal del Tribunal Constitucional (TC) a solicitud formulada por la Gerencia de Innovación y Transformación Digital (a través de nuestra Gerencia General) con la formalización para extender la permanencia del CDR BN San Isidro más allá de la fecha límite (05.10.2026). de acuerdo a la respuesta se continuarán con las atividades pendientes como la aprobación de la Solicitud de Cambio (actualización de fechas del Cronograma), la instalación del Comité de Concurso de Méritos y la aprobación de Bases Administrativas por parte del Comité de Concurso de Méritos a fin de dar continuidad al proceso logístico , también que la Gerencia de Tecnologías de Información remita – a la Gerencia de Riesgos – la Matriz de Riesgos (formato firmado) para su elevación al Comité de Riesgos.
31/12/2024: El proyecto se encuentra a la espera de la respuesta del Tribunal Constitucional para que indiquen si el tiempo de permanencia del centro de datos se aplaza o no.
13/12/2024:  El avance de las actividades pendientes es el siguiente: Proforma de Contrato: EN PROCESO (Gerencia Legal), Control de Cambios del Proyecto: EN PROCESO (Gerencia de Administración y Logística)
Matriz de Riesgos: EN PROCESO (Gerencia de Riesgos y Gerencia de Tecnologías de Información)
08/11/2024: El avance de las actividades pendientes es el siguiente: Estudio de mercado culminado: 100%,  Informe (Estudio) Viabilidad Económico Financiero: EN PROCESO. 
El 23.10.2024, mediante el Memorándum N° 0132-2024-BN/2570, el Equipo solicitó Control de Cambio a la Gerencia de Planeamiento para la actualización de fechas del Cronograma.
se encuentra en proceso de evaluación de la disponibilidad de recursos presupuestales dentro de la Gerencia, a fin de solicitar  a la Gerencia de Finanzas y Tesorería emita la Cobertura de Recursos Presupuestales 
26/09/2024: En proceso de estudio de mercado: 95%, El Equipo Técnico está a la espera de la culminación del estudio de mercado a fin de continuar con los trámites administrativos requeridos.
12/08/2024: Actualmente se encuentra en etapa de Estudio de Mercado, excepto otros proveedores remitan nuevo portafolio de consultas y/o se vea necesario actualizar TDRs producto de la evaluación de Riesgos.
27/06/24 Se regulariza su registro en la demanda por ser un Proyecto Estratégico del Banco.</t>
  </si>
  <si>
    <t>01/08/2024 Se registro en el Backlog, se creo el tramite Documentario y se Registro en la Demanda Estrategica. Requerimiento corresponde al entregable 7 de Sentinel.</t>
  </si>
  <si>
    <t>5/12/2024: Según CQ, se actualizó el estado de 01. Registrado a 05. En Calidad
09/08/2024:  Se registró en el Backlog de requerimientos. Requerimiento corresponde al entregable 7 de Sentinel.</t>
  </si>
  <si>
    <t>03/09/24: Según CQ, actualizó el estado a 02. En Planificación
29/08/2024:  Se registró en el Backlog de requerimientos.</t>
  </si>
  <si>
    <t>Descartado</t>
  </si>
  <si>
    <t>05/09/2024:  Se registró en el Backlog de requerimientos. 21/08 Refiere a nuevo desarrollo para el entregable 10 de Sentinel.</t>
  </si>
  <si>
    <t>08. Producción Finalizada</t>
  </si>
  <si>
    <t>30/12/2025: Según el acta de reunión del comité de proyectos, se debe reiterar al MEF la conformidad del diseño de las tarjetas, a fin de cumplir con las fechas propuestas actualizadas.
05/09/2025: Las actividades del Piloto Controlado, se realizarán después del 16 de Setiembre. El área usuaria no ha remitido los anexos 2 para levantar las observaciones de los reportes Operativos Contables.
25/07/2025: Se realizaron las actividades de despliegue en producción, el área usuaria viene realizando las validaciones correspondientes con los equipos de BN y MEF. Se ha coordinado reaunadar las actividades del piloto controlado en Producción la primera semana del mes de Agosto.
17/07/2025: Está en proceso de despliegue de la Fase IV en el ambiente de Producción.
Las observaciones que se presenten durante el piloto y/o pendientes se atenderán inmediatamente.
11/06/2025:Según la información enviada de Planeamiento en el mes de Mayo se precisa lo siguiente:
La demora en el pase a Producción Fase IV está afectando la fase de marcha blanca. Además, la reciente solicitud de especificar los procesos contables podría obligar a un control de cambios en mayo para ajustar el plan original del proyecto.
03/06/2025: Según la información enviada de Planeamiento mediante correo respecto al proyecto en el mes de abril se tiene que: La conclusión total del servicio requiere la colaboración de las unidades orgánicas participantes. A la vez, el equipo de Desarrollo del BN trabaja en los cinco entregables finales, la certificación y el pase a producción, abordando los retrasos actuales.
21/05/2025: Según el Acta de Reunión N°04-2025 del Comité de Proyectos, se solicita a Planeamiento hacer seguimiento al proyecto y que este incluya la parte contable.
07/05/2025: Según la información remitida por Planeamiento mediante correo: Se han completado 5 de los 10 entregables. A pesar de los retrasos de Izipay, las pruebas en POS comenzarán en abril. El equipo de Desarrollo del BN trabaja para cumplir los plazos y completar los entregables restantes.
31/12/2024: Ciclos de pruebas en marcha (379 Ok / 617 Total). Se esta coordinando y resolviendo día a día con proveedor y TI. A la par ya culminaron con remitir solicitud de cambio y cronograma de actividades para que sea aprobado por el comité.
13/05/2024 A la espera del Anexo 1 para poder incorporar el proyecto a la Demanda Estratégica
25/04/2024 Mediante Memo N° 63-2024-BN2810 en que se entrega la nueva lista de proyectos con componente TI se crea el proyecto en base de datos y se asigna el Lider usuario al proyecto, anteriormente no existia .
03/06/2025: Según la información enviada de Planeamiento mediante correo respecto al proyecto en el mes de abril se tiene que: La conclusión total del servicio requiere la colaboración de las unidades orgánicas participantes. A la vez, el equipo de Desarrollo del BN trabaja en los cinco entregables finales, la certificación y el pase a producción, abordando los retrasos actuales.
21/05/2025: Según el Acta de Reunión N°04-2025 del Comité de Proyectos, se solicita a Planeamiento hacer seguimiento al proyecto y que este incluya la parte contable.
30/04/2025: La Fase III del proyecto fue desplegada a Producción, se ha creado la primera Tarjeta Guía y los equipos BN y MEF, dieron inicio al piloto con el Kick Off a 4 entidades, Promperú, SUNAT, MEF y Relaciones Exteriores. Estamos realizando el ciclo de pruebas Fase IV en ambiente de Certificación, donde se ha incorporado principalmente pruebas en comercios y canales foráneos, por lo que estimamos culminar esta fase de pruebas en el mes de junio 2025.  
31/03/25: La Fase III del proyecto fue desplegada a Producción, se ha creado la primera Tarjeta Guía y el área usuaria está coordinado con el MEF, el inicio del piloto con 4 entidades (Promperú, SUNAT, MEF y Relaciones Exteriores). Estamos realizando el segundo ciclo de pruebas Fase IV en ambiente de Certificación, donde se está incorporando pruebas en comercios y canales foráneos, por lo que estimamos culminar las pruebas en Certificación en abril para el Inicio del Piloto Integral en abril 2025. 
21/03/25: Mediante correo del 21/03/25 de Planeamiento se indica:
Se culminó con la 3ra. fase de certificación, iniciando la 4ta. y ultima fase (entregable N° 6). Se culminará la fabricación del material de difusión durante el mes de marzo.
28/02/2025 1.	Proyecto Tarjeta Tesoro:  Nos encontramos realizado el Piloto de la Fase III en Producción.Iniciamos el Piloto Controlado, se ha creado la primera Tarjeta Guía en Producción, se solicitó el Emboce de la Tarjeta Guía y procederemos a la verificación de Canales.En paralelo, el equipo de Calidad está realizando el segundo ciclo de pruebas Fase IV, donde se está incorporando comercios y canales Foráneos. Alcance Módulo Administrativo: Afiliar entidades y Representantes, Actualizar, Consultar Afiliados y desafiliados, representantes y usuarios autorizados de las entidades habilitadas para solicitar tarjetas. 
Alcance Módulo Operativo: Solicitud de tarjetas, habilitación de la Línea de crédito, asignaciones, Reporte de las transacciones con los servicios WEB, Agentes, ATM y Ventanilla.
Duración del Piloto Controlado Canales BN Marzo 2025.
Inicio del Piloto Integral Abril 2025.
28/01/25: Se encuentra realizando pruebas en Calidad y en coordinaciones constantes con Izipay, con un avance de 70%.
31/12/24: Ciclos de pruebas en marcha (379 Ok / 617 Total). Se esta coordinando y resolviendo día a día con proveedor y TI. A la par ya culminaron con remitir solicitud de cambio y cronograma de actividades para que sea aprobado por el comité.
13/12/2024 El Proyecto se está certificando, se remitió nuevo cronograma con las nuevas fechas de implementación.
19/11/2024 Se aprobó un nuevo cronograma con fecha de incio del Piloto para Enero 2025. El proyecto se encuentra a un 74% de avance segun cronograma actualizado al 07 de Noviembre.
12/08/2024 Avance del Proyecto segun cronograma.
27/06/2024 Seregulariza su ingreso a la demanda estratégica.</t>
  </si>
  <si>
    <t>02/10/2024:  Se registró en el Backlog de requerimientos.</t>
  </si>
  <si>
    <t>En_Certificación</t>
  </si>
  <si>
    <t>06/11/24: Se registró en el Backlog</t>
  </si>
  <si>
    <t>03/12/2024: Se registró en el Backlog y se creó el trámite.</t>
  </si>
  <si>
    <t xml:space="preserve">06/10/25: Paquete 1: 2024-P0630 paso a producción en enero 2025. 
Paquete 2: Los mantenimientos 2025-M0166, 2025-M03192025-M0321 se certificaron el 02.10, el mantenimiento 2025-M0320 se certificó el 03.10. Se planifico el despliegue para la 3era semana de octubre
Paquete 3: Se encuentra en Desarrollo. 
Está pendiente que el usuario gestione la ampliación de plazo e informe a Planeamiento.
05/09/2025: 
Paquete 1: 2024-P0630 paso a producción en enero 2025. Paquete 2: Está presentando retrasos, se está realizando el 3er ciclo de pruebas en calidad de los procesos 11,12 y 17. El proceso 13 se encuentra en su 4to ciclo de pruebas. Se está planificado culminar en setiembre. 
Paquete 3: Se encuentra en Desarrollo. 
Está pendiente que el usuario gestione la ampliación de plazo e informe a Planeamiento.
25/07/2025:  Paquete 1, 2024-P0630 paso a producción en enero 2025. Paquete 2, Está presentando retrasos, se está realizando el 3er ciclo de pruebas en calidad y está planificado culminar en agosto. Paquete 3: Se encuentra en Desarrollo.
Está pendiente que el usuario gestione la ampliación e informe a Planeamiento.
17/07/2025: Paquete 1, 2024-P0630 paso a producción en enero 2025.
Paquete 2, Está presentando retrasos, se está realizando el 2do ciclo de pruebas en calidad y está planificado culminar en agosto.
Paquete 3: Se encuentra en Desarrollo.
Está pendiente la ampliación de plazo por parte del área usuaria e informar a Planeamiento.
11/06/2025:Según la información enviada de Planeamiento en el mes de Mayo se precisa lo siguiente:
Los atrasos se deben a incidencias técnicas presentadas en el proceso ATM (NCR) y de Atención a Solicitudes (perfiles y accesos).
En relación a ATM´s no existe contrato vigente con NCR lo que dificulta la realización de pruebas en desarrollo.
En cuanto atención de solicitudes, seguridad informática tuvo demoras en la asignación de perfiles y accesos.
03/06/2025: Según la información enviada de Planeamiento mediante correo respecto al proyecto en el mes de abril se tiene que: Debido a los inconvenientes técnicos con los que se cuenta en entorno de Desarrollo para los aplicativos de: Estados de cuenta de ahorro (ECAI) y contractuales con el proveedor NCR para Cajeros Automáticos, continúan los pendientes para pasar a entorno de certificación 2 de los 4 procesos que contempla el paquete número 02 (entregable 02).
07/05/2025: Según la información remitida por Planeamiento mediante correo: A nivel proveedor se esta avanzando con el desarrollo de los 4 bots esperando que se concreto lo que se indica en el párrafo anterior.
Queda pendiente la asignación de las credenciales del journal NCR (consultas de ATM).
31/12/2024: Referente a RPA, el avance del primer entregable es de un 90%, se viene gestionando la certificación de los 3 procesos mencionados pertenecientes al primer paquete.
No se contó con los requerimientos técnicos dentro de los plazos (TI) para cumplir con el hito 1 : instalación y configuración de la plataforma RPA. Por ello se presentara un control de cambios a fin de corregir y alinear el cronograma.
23/05/24 Mediante acta de comité estratégico de proyectos con fecha 06.05/24 se informa que se aprobó el control de cambios del proyecto , los usuarios deben formalizar el nuevo cronograma del proyecto y remitirlo a planeamiento. Validar que el contrato esté firmado y revisar cronograma, 1er entregable inicia el 07/06/24 (Desarrollo, QA, Producción).
03/05/2024 En proceso logístico para el otorgamiento de la Buena pro
05/04/24 Según correo remitido por MOrtiz, menciona la solicitud al área de Logística para ampliar el plazo de solución de consultas y observaciones e integración de bases del proceso de contratación.
21/03/24 Según cronograma ya estan por culminar el proceso logística. P&amp;D agendará una reunión para revisar las siguientes actividades que involucra a TI y cuando se estarían iniciando. Pendiente que el usuario remita modelo de negocio para registrar el Proyecto en la demanda estrategica priorizada.
03/06/2025: Según la información enviada de Planeamiento mediante correo respecto al proyecto en el mes de abril se tiene que: Debido a los inconvenientes técnicos con los que se cuenta en entorno de Desarrollo para los aplicativos de: Estados de cuenta de ahorro (ECAI) y contractuales con el proveedor NCR para Cajeros Automáticos, continúan los pendientes para pasar a entorno de certificación 2 de los 4 procesos que contempla el paquete número 02 (entregable 02).
30/04/25: Del Paquete 1 Se cerro pase 2024-P0630 en el Clear Quest. 
Del Paquete 2 Se está presentando retrasos, aún se encuentra en Desarrollo y el área usuaria ha solicitado dividir los requerimientos a fin de pasar a Certificación los que ya se encuentre finalizados en desarrollo. La fecha que debió estar en PRODUCCION es el 21/04.
Del paquete 3: El área usuaria ha solicitado el registro de los nuevos roles para avanzar con la automatización de los demás procesos.
31/03/25: Se emitió el MEMORANDO N° 00000016 - 2025-BN/2550 con el Informe 0004-2025-2550 correspondiente a la ejecución de los Entregables 1, 2 y 3 de la PRESTACION PRINCIPAL para el 1er pago. 
Del Paquete 1 que se pasó a Producción aún está pendiente el Cierre del pase en el Clear Quest.
Del Paquete 2 Ambiente Desarrollo. Se está presentando retrasos:
Proceso 11: Atención de solicitudes Reportaron que no había data en el STD, se explicó que debido a que la cuenta es nueva no tendría asignado ningún trámite y que lo mismo pasara en Producción, es decir cuando se cree la cuenta del Robot, posterior a ello podría visualizar tramites cuando se le derive o copie. También reportador que la versión en Desarrollo (v6) y el contratista tenía mapeado la versión (v5), Se explico que la versión actual es la V6, sin embargo, las opciones a los cuales ingresan es el mismo y no había cambiado. Proceso 12: Información ATM: Se estaba presentando incidentes en OnDemand y se indicó que deben de ejecutar a través del Internet Explorer. Pendiente las credenciales para NCR, se solicitó la generación en Certificación que se ejecutaría en el ambiente de Desarrollo. Proceso 13: Agentes Corresponsales. Para la 2da semana de abril ya estarían iniciando las pruebas con Usuario. Proceso 17: Certificados Depósitos Judiciales, expusieron que por la demora en las credenciales para la sesión de emulación se estaba retrasando. Se indico que utilizaran la cuenta de la sesión que usaron en las pruebas del 1er paquete.
21/03/25: Mediante correo del 21/03/25 de Planeamiento se indica:
Ya se encuentra en producción el 100% del primer paquete de procesos.
Ya se inicio el desarrollo del segundo entregable, con un avance del 25% (perfiles , accesos y seguridad). Por parte del contratista esta en proceso el levantamiento de información.
28/02/2025: Del paquete 1 (en producción). Para el proceso 1:  El área usuaria había solicitado el ROL para la Gerencia de Operaciones el cual género que no se visualicen las tareas realizadas por el Robot y solicitaron la modificación del Rol hacia la Secc.  Administración de Cuentas y Pagaduría. El proceso 8: El área usuaria reporto inconsistencia y luego solicitaron la reinstalación del Office el cual ya había sido realizado. A la espera que vuelvan a validar los 2 procesos.
17/02/2025 Se generaron las cuentas de para los Procesos 1 , 8 y el area usuaria indico los horarios para programar su ejecución en el ambiente de Producción e indico que el proceso 10 pasará a modo stand by. 
31/01/2025 Está pendiente la generación de las cuentas de acceso de los Bots. En reunión con el área usuaria y se revisó la matriz aplicativos por procesos correspondiente al paquete 2 (4 procesos que se automatizaran) de los que se indicó que se aclaren donde se indica Host Emulación y no está el nombre de la aplicación y sobre la creación de carpetas compartidas ya que actualmente no se puede solicitar la creación de carpetas.
28/01/2025: Se certifico el primer paquete de automatizaciones de los 3 procesos el 24/01/. Se registrará en la demanda 2 requerimientos adicionales para atender otros 2 paquetes que comprenden (4 procesos y 3 procesos)
31/12/24: Referente a RPA, el avance del primer entregable es de un 90%, se viene gestionando la certificación de los 3 procesos mencionados pertenecientes al primer paquete.
No se contó con los requerimientos técnicos dentro de los plazos (TI) para cumplir con el hito 1 : instalación y configuración de la plataforma RPA. Por ello se presentara un control de cambios a fin de corregir y alinear el cronograma.
16/12/24: Se registró en el Backlog
22/07/25: El dia de ayer se tuvo la reunion con el Proveedor para definir el perfil de accesos de la Plataforma del RPA y el dia de hoy Certificacion comenzo a validar que cada perfil de Accesos, de completar esta actividad, Certificacion solictra la validacion a traves del ISIM y con ello tener el acta de las pruebas de integracion del RPA con ISIM. Esta pendiente terminar las pruebas de las Alertas. De acuerdo a lo indicadp por Certificación ya tienen 2 actas firmadas de 2 de los bots, mañana tendran del 3er bot </t>
  </si>
  <si>
    <t>05/09/2025: Se descarta el requerimiento, debido a que la integración será trabajado en el ID 2292.
13/02/25 En proceso de atención por el proveedor.
16//12/24 Se registro en el Backlog</t>
  </si>
  <si>
    <t>27/12/2024: Se registró en el Backlog como trámite Regularizado</t>
  </si>
  <si>
    <t>Rechazado</t>
  </si>
  <si>
    <t>18/02/25: Se revisó con el equipo de construcción y se aprobó su formalización por Comité de Demanda
23/01/2025: Se registró en el Backlog, se creó trámite y se priorizó.</t>
  </si>
  <si>
    <t>23/01/2025: Se registró en el Backlog y se creó trámite. Es requerimiento hijo de ID 2056.</t>
  </si>
  <si>
    <t>En Pruebas en Desarrollo, pase a Calidad la primera semana de marzo.
29/01/25 Se requiere su registro en el Backlog y en la Demanda Estratégica, por ser parte del proyecto Cuenta DNI- Nuevas Funcionalidades. RQ hijo 2056 30/01/2025: Se registró en el Backlog y se creó trámite.</t>
  </si>
  <si>
    <t>24/01/25 Se registra el paquete 3 como parte de la implementación del Proyecto de Robotización.</t>
  </si>
  <si>
    <t>17/02/2025: Se registró en el Backlog como trámite Rugularizado. Es requerimiento hijo de 2056.</t>
  </si>
  <si>
    <t>2025-I</t>
  </si>
  <si>
    <t>Transitorio_Regularizado</t>
  </si>
  <si>
    <t>17/02/2025: Se registró en el Backlog como trámite Es requerimiento hijo de 2487.</t>
  </si>
  <si>
    <t>06/10/2025: El pase de Apertura en línea 2024-M0098 paso a producción en setiembre 2025. El pase Apertura masiva Batch: 2024-M0218 paso a producción en setiembre 2025. La Tabla de Control 2024-M0465 Certificado en julio y la Mejora de la Tabla de Control:  2025-M0523 Certificado en setiembre. Pase a Producción en octubre.
El Tarifario 2025-M0308 se encuentra en pruebas en Calidad de los canales WEB, Ventanilla, APP, ATM, se certificará el 17/10. Debido a que se priorizo el pase del nuevo tarifario en el canal de Agente corresponsales, posterior a este despliegue se continuará con la implementación del cobro de comisiones en Cuenta Digital para este canal. Tarifario Agente se tiene como compromiso iniciar el 6/10/ y finalizar 28/11.
Está pendiente que el usuario gestione la ampliación de plazo e informe a Planeamiento.
05/09/2025: El pase de Apertura en línea se desplego en Producción. Pendiente la regularización del estado del pase. El pase Apertura masiva Batch: Certificado el 01/09. El Tarifario se encuentra en pruebas en Calidad de los canales WEB, Ventanilla, APP, ATM. La Tabla de Control Certificado el 14/07. La Mejora de la Tabla de Control: En Desarrollo.  Está pasando a Certificación la 1era semana de Setiembre.
Debido a que se priorizo el pase del nuevo tarifario en el canal de Agente corresponsales, posterior a este despliegue se continuará con la implementación del cobro de comisiones en Cuenta Digital para este canal.
25/07/2025: El pase de Apertura en línea se desplego en Producción. Pendiente la regularización del estado del pase. El pase Apertura masiva Batch paso a Certificación para su atención. El Tarifario se encuentra en pruebas en Desarrollo los canales WEB, Ventanilla, APP y se encuentran en proceso de desarrollo los canales ATM y Agentes. La Tabla de Control se encuentra Certificado. 
17/07/2025: El pase de Apertura en línea se desplego en Producción. Pendiente la regularización del estado del pase. El pase Apertura masiva Batch según lo informado por desarrollo estarían pasando a Certificación la 4ta semana de julio. El Tarifario se encuentra en pruebas en Desarrollo los canales WEB, Ventanilla, APP y se encuentran en proceso de desarrollo los canales ATM y Agentes. La Tabla de Control se encuentra Certificado.
11/06/2025:Según la información enviada de Planeamiento en el mes de Mayo se precisa lo siguiente:
Realizando pruebas de proceso de apertura masiva Batch de Cuentas Digitales BN (Código 2024-M0218) en el ambiente de certificación.
En relación al entregable “Tabla de Control de Calidad” (Código 2024-M0465), este también se encuentra en pruebas dentro del entorno de certificación.
Se concluyó la definición de estrategia de migración, realizado por la Gerencia de Operaciones, Banca Digital y la Subgerencia de Construcción de Aplicaciones.
03/06/2025: Según la información enviada de Planeamiento mediante correo respecto al proyecto en el mes de abril se tiene que: Se logró concluir con las pruebas en ambiente de desarrollo para el proceso de apertura de Cta. Digital BN en Línea (individual y masivo - 2024-M0098). Se han realizado las reuniones de entendimiento con la Sección Control de Calidad, Sección Sistemas Bancarios y la Sección Arquitectura de Datos y Aplicaciones. Se encuentra en proceso las pruebas en ambiente de certificación con el apoyo del área usuaria Sección Apertura de Cuentas.
Se concluyó las pruebas en ambiente de desarrollo para el proceso de Apertura masiva batch de Cta. Digital BN (2024-M0218), se encuentra en proceso las reuniones de entendimiento con la Sección Calidad para iniciar las pruebas en ambiente de certificación.
La Sección Control de Calidad realizó observaciones al proceso Tabla de Control calidad (2024-M0465), las mismas que fueron revisada y subsanadas por  la l Sección Servicios Bancarios. Se están preparando para indicar las pruebas en certificación
Se establecieron los lineamientos para la estrategia de migración, en conjunto la Gerencia de Operaciones, banca Digital y la Subgerencia de Construcción de Aplicaciones.
07/05/2025: Según la información remitida por Planeamiento mediante correo: A nivel tareas, actualmente se encuentra en la Etapa de Implementación del Proyecto. 
Continúan las pruebas en desarrollo con la participación de los usuario (Secc. Apertura de Cuentas)  y la fabrica de SW del BN, encargada de los desarrollo, para el componente  2024-M0098 - Adecuación proceso de apertura de cta. DNI en Linea (individual y masivo ), actividad que presenta atraso y perjudica el avance de otras actividades (pruebas en canales).
Las pruebas con los canales de atención se encuentra en pausa, hasta que 
Continúan las pruebas en desarrollo con la participación de los usuario (Secc. Apertura de Cuentas)  y la fabrica de SW del BN, encargada de los desarrollo, para el componente 2024-M0218-Apertura masiva batch.
Se viene coordinando las actividades previas para iniciar la pruebas en certificación, como es la carga inicial de los DNI's, para el componente 2024-M0465-Tabla de Control.
03/02/2025 Este proyecto tiene los mantenimientos:
2024-M0098: Adecuación Proceso de Apertura de CTA DNI en Linea (individualy masivo) y funcionamiento en canales de atencion: Se encuentra en pruebas con usuario Ambiente de Desarrollo
2024-M0218: Apertura Masiva batch: Se encuentra en pruebas con usuario Ambiente Desarrollo
2024-M0645: Tabla de Control: El 05/02 Inician las pruebas con usuario Ambiente Desarrollo.
31/01/25: Aprobado en comité de Dic24. Se encuentra en
proceso de Desarrollo.
03/06/2025: Según la información enviada de Planeamiento mediante correo respecto al proyecto en el mes de abril se tiene que: Se logró concluir con las pruebas en ambiente de desarrollo para el proceso de apertura de Cta. Digital BN en Línea (individual y masivo - 2024-M0098). Se han realizado las reuniones de entendimiento con la Sección Control de Calidad, Sección Sistemas Bancarios y la Sección Arquitectura de Datos y Aplicaciones. Se encuentra en proceso las pruebas en ambiente de certificación con el apoyo del área usuaria Sección Apertura de Cuentas.
Se concluyó las pruebas en ambiente de desarrollo para el proceso de Apertura masiva batch de Cta. Digital BN (2024-M0218), se encuentra en proceso las reuniones de entendimiento con la Sección Calidad para iniciar las pruebas en ambiente de certificación.
La Sección Control de Calidad realizó observaciones al proceso Tabla de Control calidad (2024-M0465), las mismas que fueron revisada y subsanadas por  la l Sección Servicios Bancarios. Se están preparando para indicar las pruebas en certificación
Se establecieron los lineamientos para la estrategia de migración, en conjunto la Gerencia de Operaciones, banca Digital y la Subgerencia de Construcción de Aplicaciones.
30/04/2025 El pase de Apertura en línea paso a Certificación el 15.04 (fecha planificada 06.05). Están realizando el despliegue y elaborando los casos de prueba. El pase Apertura masiva Batch según lo informado por desarrollo deberá de pasar posterior al pase de apertura en línea. El 25/04 se tuvo reunión con Finanzas a fin de realizar consultas acerca del Tarifario para Cuenta Digital y el 29/04 Finanzas confirmo la actualización del tarifario en Desarrollo y se dio el inicio a las pruebas unitaria. Paso a Certificación el mantenimiento de Tabla de Control el 30/04. 
31/03/2025:Para la Tabla de Control se solicitó al área usuaria los DNIs para la carga inicial, con ello Calidad podrá iniciar las pruebas.
Se implemento los requerimientos solicitados por el área usuaria y ya encuentra en pruebas de usuario en el ambiente de Desarrollo para la Apertura de cuenta en Línea y se encuentra cerrando los el desarrollo de los requerimientos para Aperturas de cuentas en Batch. Cabe indicar que debido a pase PARTIDOS POLITICOS (2024-M0550 MN: Apertura de Cuentas Corrientes Partidos Políticos) se priorizo este pase el cual afecto la implementación de los requerimientos solicitados
21/03/25: Mediante correo del 21/03/25 de Planeamiento se indica:
La primera semana de febrero de aprobó el Tarifario para Cuenta Digital BN trabajada en conjunto con la Subgerencia de Estudios Económicos y Financieros | Gerencia Finanzas y Tesorería; así mismo trasladó Oficina de proyecto de TI para el registro correspondiente e inicio de su inclusión en la construcción Cuenta Digital BN.
28/02/25: El usuario realizo la prueba en el ambiente de desarrollo de la Tabla de Control y dio su conformidad. El área usuaria solicito nuevos requerimientos funcionales que serán asociados a los requerimientos de Apertura de cuentas en Línea y Apertura de cuentas Batch
28/02/2025: Se registró el Proyecto Cuenta Digital en el Portafolio de Demanda Estratégica.
28/02/25: Se registra el Proyecto Cuenta Digital BN en el Backlog.</t>
  </si>
  <si>
    <t>Novatronic</t>
  </si>
  <si>
    <t>2026-III</t>
  </si>
  <si>
    <t xml:space="preserve">01/12/2025:
El proyecto se dividio en dos Fases, Fase I - Sistema SIAF del MEF - BCRP/LBTR (Fecha Fin 30-01-2026), Fase II Sistema SIAF del MEF - Operaciones de Pagaduría del Estado MEF-SIAF y SUNAT – Servicios Adicionales  (Fecha Fin 14-08-2026)
El proyecto se encuentra en la etapa de Pruebas en Desarrollo (Fase I), previo al pase de pruebas en ambiente de Certificacion.
Las pruebas en el ambiente de Certificacion debieron comenzar el 03 de Noviembre del 2025, por lo tanto el proyecto con fecha de corte al 4 de Diciembre,se encuentra retrasado en un mes calendario.
Esta pendiente para concluir en esta fase : 
- Actualizacion de documentacion requerida por el area de Control de Calidad, acerca de procedimientos en la Guias de Implantacion y formatos requeridos conforme a procedimientos del Banco
- Resolucion de pruebas de vulnerabilidades, coordinacion de cuentas principal e integradora, perfiles de acceso, integracion con ISIM
- Documentacion Guia para la Creacion de un nuevo CICS para el ambiente de Certifcacion
Se esta realizando acciones y reuniones que permitan
- Alinear con control de calidad los entregables pendientes, cerrar las observaciones de seguridad,y asegurar la disponibilidad del ambiente de Certificacion y gestionar algun bloqueo en las tareas
En cuanto al cronograma, se espera recuperar la desviacion identificada de 3% y normalizar los plazos comprometidos, priorizando actividades, acelerando validaciones en certificacion, y aumentando la frecuencia del seguimiento al proyecto
07/10/2025: Se está realizando pruebas en Desarrollo y se tiene planificado culminar en octubre. Las pruebas en el ambiente de Certificación inician en noviembre y finaliza el 16.01.2026. 
Está pendiente que el usuario gestione la ampliación de plazo e informe a Planeamiento.
05/09/2025: Con fecha 14 de agosto de 2025 se remitió al área usuaria los nuevos plazos considerando los adicionales como las mejoras con LBTR, así como Contabilidad del BN. A la fecha no se ha recibido respuesta respecto a ello. 
De acuerdo a lo informado por Planeamiento el proyecto se encuentra al 82% de cumplimiento. La fecha fin del proyecto tiene planificado terminar en marzo 2026.
25/07/2025: Se ha creado un nuevo CCIS para Pagaduría que es independiente a Interoperabilidad, se están realizando pruebas internas y está pendiente la prueba integral. 
De acuerdo con el TDR la Fase I debió finalizar en Jun_2025, sin embargo, el plazo se está ampliando y se tiene planificado culminar la Fase I en Ago_2025. Pendiente la solicitud de ampliación de plazo por parte del área usuaria e informar a planeamiento.
17/07/2025: Se ha realizado pruebas internas y está pendiente la prueba integral. El equipo técnico realizo una evaluación y debido a que la solución de Pagaduría debe de soportar una sobre carga, se ha implementado un nuevo CICS idéntico a Interoperabilidad que es independiente.
De acuerdo con el TDR la Fase I debió finalizar en Jun_2025, sin embargo, el plazo se está ampliando y se tiene planificado culminar la Fase I en Ago_2025. Pendiente la solicitud de ampliación de plazo por parte del área usuaria e informar a planeamiento.
11/06/2025:Según la información enviada de Planeamiento en el mes de Mayo se precisa lo siguiente:
Nos encontramos en la etapa de Desarrollo y Construcción la fase I del proyecto de Pagaduría: Integración LBTR-SIAF-BCRP.
En relación a las pruebas de desarrollo (Desarrollo Novatronic y Banco), además se ha comprometido la participación del MEF y BCRP, lo que implica pruebas de conectividad para este mes y en el mes de junio se realizarian las  pruebas integrales entre el Banco, MEF y BCRP.
Novatronic se atraso en el desarrollo de sus interfases, para el mes de mayo ha acelerado el desarrollo de sus aplicaciones.
03/06/2025: Según la información enviada de Planeamiento mediante correo respecto al proyecto en el mes de abril se tiene que: Se ha finalizado la revisión de estructuras de interfaces de todos los flujos (para las fases I y II)
Se han realizado coordinaciones con el BCRP a fin de revisar el proceso de conciliación que realizan las entidades, asimismo mediante correo electrónico (02.05.2025) se ha solicitado a dicha entidad asegurar su participación en las pruebas de conectividad e intercambio de información para la ejecución de las pruebas preliminares a iniciarse en la segunda quincena de mayo del presente.
Con carta Nro. 005-2025 BN3100 (29.04.2025) se comunicó a la Dirección General del Tesoro Público el estado del desarrollo que viene realizando el Banco referente a la implementación del proyecto de pagaduría para la interconexión entre los sistemas transaccionales del SIAF y LBTR del BCRP; solicitando la cooperación de su equipo técnico en las pruebas de conectividad e intercambio de información para las pruebas preliminares a realizarse en la 2da quincena de mayo del 2025.
07/05/2025: Según la información remitida por Planeamiento mediante correo: A nivel tareas, actualmente se encuentra en la Etapa de Implementación del Proyecto.
- Se ha culminado la revisión de flujos y esquemas de la fase I (Integración SIAF-BN-LBTR), está pendiente de que TI confirme el desarrollo de la interfaz Host.
- Se ha coordinado con TI (H. Zevallos) la asignación de un recurso adicional (Nestor Acha), que apoye a E. Cárdenas con la implementación de la TXn HOST (cargo, abono, extorno, consulta) requerido por Novatronic para la integración con el SIAF; asimismo la asignación de otro recurso para el proceso de Conciliación.
- Se encuentra en la actividad de habilitación de ambiente y servidores para las pruebas funcionales de la fase I, está pendiente de que Novatronic valide la conectividad (Al mes de Abril ya se concluyo la actividad).
- Pendiente una reunión entre Novatronic y TI del BN a fin de revisar el flujo de la fase II (al mes de abril ya se concluyó la actividad).
08/04/2025: Mediante el Acta de Reuniòn 01-2025 el Comitè de Proyectos aprobò el proyecto.
17/02/25 Revisión del Flujo 1 - MEF LBTR: Se remitio la informacion solictada por Novatronic. Avance: 100% . Análisis y Diseño 50% (Novatronic) Proporcionar las EETT  de Txn del Host BN 50% Generacion de Archivos y Casos de Pruebas MEF/SUNAT - BN (Sunat no cuenta con la infor.) 50%
31/01/25: Aprobado en comité de Ene25. En reuniones
técnicas con el proveedor.
20/05/2024 Mediante correo de Jorge Lavalle se notifica laentrega de la propuesta comercial y los TDRs para su validación,se genera reunion para su revisión el 22-05.
07/05/2024 Mediante correo se hace envìo de los TDRs del proyecto.
30/04/2024 Mediante correo de Antonio Luyo se entrega el documento de las TDr s del proyecto a Martin Nicho, para luego ser remitidas a Jorge Lavalle y Marco Ortiz.
29/04/2024 Mediante correo de Jorge Lavalle se pide la validación de los TDRs del proyecto 
25/04/2024 Por correo de Martin Nicho se pide la asistencia para dar respuesta al usuario sobre los requerimientos del proyecto, se establece un orden de prioridad para la atención de los mismo: Seguridad informática, Arquitectura, Construcción y Producción. Se espera la formalización de la  inscripción del proyecto a la lista de proyectos estratégicos por Jorge Lavalle.
22/04/2024 Con correo remitido por Jorge Lavalle se pone en consideración la priorización de los TDRs, una vez teniendo los TDRs finales finaliza la revisión del contrato e inicia la formalización. Se hace llegar el contrato, propuesta y, esquema general y técnico de solución.
03/06/2025: Según la información enviada de Planeamiento mediante correo respecto al proyecto en el mes de abril se tiene que: Se ha finalizado la revisión de estructuras de interfaces de todos los flujos (para las fases I y II)
Se han realizado coordinaciones con el BCRP a fin de revisar el proceso de conciliación que realizan las entidades, asimismo mediante correo electrónico (02.05.2025) se ha solicitado a dicha entidad asegurar su participación en las pruebas de conectividad e intercambio de información para la ejecución de las pruebas preliminares a iniciarse en la segunda quincena de mayo del presente.
Con carta Nro. 005-2025 BN3100 (29.04.2025) se comunicó a la Dirección General del Tesoro Público el estado del desarrollo que viene realizando el Banco referente a la implementación del proyecto de pagaduría para la interconexión entre los sistemas transaccionales del SIAF y LBTR del BCRP; solicitando la cooperación de su equipo técnico en las pruebas de conectividad e intercambio de información para las pruebas preliminares a realizarse en la 2da quincena de mayo del 2025.
30/04/25: El 14/04 Se tuvo reunión presencial con SUNAT y se indicó que esperarían a más tardar 1 mes para que informen su participación. 
El 15/04 Se tuvo reunión con el BCRP y se informó que las pruebas preliminares iniciarían el 15.05.
Se tuvo reuniones técnicas entre el BN y Novatronic.
De acuerdo con el TdR se presenta retraso, la Fase I finaliza en Jun_2025 sin embargo por demora del MEF se amplio el plazo y se tiene planificado culminar la Fase I el Ago_2025. 
31/03/25 Se han realizado reuniones entre el BN, Novatronic y el área usuaria a fin de revisar las Especificaciones Técnicas. El área de TI a remitido correos respondiendo las consultas realizadas por el contratista. El avance de las actividades es la siguiente:
Revisión de esquemas, flujos y otros (requisito) – Novatronic – Se culmino
Habilitar los ambientes de prueba (servidores, software base, enlaces, conexiones FTP con MEF, pruebas de funcionamiento) – En proceso. Implementación - Actividades de Novatronic: análisis y diseño de las EETT, Sistema de Pagaduría (proceso de lotes), Sistema Orquestador, integración sistema LBTR (adecuaciones de interfaces), pruebas integrales – En proceso.
Implementación - Actividades del BN (Host MF): generación de archivos y casos de prueba, validación de las EETT (Host), pruebas internas, validación de archivos de conciliación, generación de archivos y pruebas internas – En proceso.
28/02/2025: El avance de las actividades es la siguiente:
El BN envió a Novatronic los archivos para la revisión del Flujo 1 (MEF-LBTR) (100%). 
Flujo 7 SUNAT (50%)
Habilitar Servidor y software base (30%)
El Análisis y Diseño - Novatronic (80%). 
Las especificaciones técnicas de las Transacciones de Host-BN (80%). 
Generación de Archivos y Casos de Pruebas (50%).
28/02/2025: Se registró en el Portafolio de Demanda Estratégica.
28/02/25 Se registra el Proyecto: Implementación del Sistema de Procesamiento de Operaciones de Pagaduría del Estado MEF-SIAF y SUNAT </t>
  </si>
  <si>
    <t>30/12/2025:Se debe enviar a la Gerencia de Planeamiento y Control de Gestión el cronograma detallado del entregable Configuración de enero para que puedan realizar un mayor seguimiento de las actividades que involucra este entregable. Es así que la gerencia de Banca Digital señala que ya tiene el cronograma; sin embargo, se está procediendo a ser firmado por todos los participantes.                                                                                                                                                                                                                                                                                                                                                                21/03/2025: Se solicita registro en el Backlog. Se coordinará con el equipo técnico para su atención respectiva.</t>
  </si>
  <si>
    <t>24/03/25: Se regularizó registro en Backlog</t>
  </si>
  <si>
    <t>24/03/25: Se regularizó registro en Backlog.</t>
  </si>
  <si>
    <t>01. Registrado</t>
  </si>
  <si>
    <t>02/04/25 Se registra el Proyecto: FASE 2: Implementación del Sistema de Procesamiento de Operaciones de Pagaduría del Estado MEF-SIAF y SUNAT – Servicios Adicionales</t>
  </si>
  <si>
    <t>2025-III</t>
  </si>
  <si>
    <t>05/09/2025: Está pendiente que el área usuaria resuelva el tema del tarifario de comisiones CCE. Debido a los fraudes presentados, se está priorizando la atención de mejoras funcionales y de seguridad solicitados para un canal seguro.
05/09/2025: El MEMORANDO adjunto (N° 00000228 - 2025 - BN/3111) fue devuelto, por lo que se esta retirando su registro en la Demanda Estratégica CT. Además, el mantenimiento no se encuentra activo en Producción. El equipo de Construcción sugiere un nuevo ciclo de pruebas cuando culmine la implementación de mejoras. 
25/07/2025: El mantenimiento asociado al Proyecto, se encuentra en proceso de certificación, el compromiso es certificar el mantenimiento el mes de Agosto.
17/07/2025: Se está realizando la atención de Pago de haberes que está planificado culminar en agosto 2025
03/06/2025: Según la información enviada de Planeamiento mediante correo respecto al proyecto en el mes de abril se tiene que: A pesar de los correos enviados por el analista asigando y el subgerente de planeamiento, aún no se han presentado el cronograma ni la evaluación costo-beneficio.  La justificación es que están coordinando con el área de TI, la cual tiene sus propios plazos para atender y desarrollar esas actividades.
21/05/2025: Según el Acta de Reunión N°04-2025 del Comité de Proyectos, se llevará una reunión entre la Gerencia General, Gerencia de Operaciones y la Gerencia de TI para determinar los cambios que tendrá dicho proyecto.
30/04/25: Proyecto aprobado por el Comité Ejecutivo de proyectos, comunicado mediante acta N° 03-2025 de fecha 19 de marzo 2025. De acuerdo a lo dispuesto por Gerencia General, actualmente se viene atendiendo las incidencias de Banca Empresarial, posterior a ello se iniciará la atención de la Fase IV del proyecto.
21/04/2025 Proyecto aprobado por el Comité Ejecutivo de proyectos, comunicado mediante acta N° 03-2025 de fecha 19 de marzo 2025.</t>
  </si>
  <si>
    <t>29/04/2025: Se regularizó requerimiento en el Backlog.</t>
  </si>
  <si>
    <t>07/05/2025: Se registró requerimiento en el Backlog. RQ Hijo de 2649</t>
  </si>
  <si>
    <t>19/05/25: Se registra el FASE 1: Integraciones - Implementación de Novatronic al Backlog y se crea trámite. RQ hijo de 2649</t>
  </si>
  <si>
    <t>2027-II</t>
  </si>
  <si>
    <t>30/12:2025: De acuerdo con el acta de reunión del comité de proyectos, se debe realizar un informe sobre el estado situacional del proyecto y la Gerencia de Banca Digital debe agendar una reunión con la gerencia de TI y el proveedor para ver posibles mejoras.
06/10/2025 Con Informe Técnico N° 00000040 - 2025-BN/2560 de fecha 06/10 TI emite respuesta sobre el entregable Despliegue del Ambiente de Certificación (QA).
El proveedor solicito 3 Certificados SSL para el ambiente de Desarrollo a través del correo electrónico y el equipo de la Oficina de Seguridad Informática solicito que remitan el certificate signing request (CSR) para que procedan a la emisión. A la fecha el proveedor aun no lo remite.
El equipo de TI viene dando el apoyo técnico a las consultar y requerimientos realizados por el Proveedor.
Está pendiente que el usuario gestione la ampliación de plazo e informar a Planeamiento.
05/09/2025: Con Informe Técnico N° 00000015 - 2025-BN/2550 de fecha 14/07 TI emite respuesta sobre el entregable: Despliegue Base para los Ambientes. 
Con Informe Técnico N° 00000032 - 2025-BN/2560 de fecha 13/08 TI emite respuesta sobre el entregable Despliegue del Ambiente de Desarrollo (DEV).
Banca Digital con Carta Nº 00000051-2025-BN/7920 de fecha 21/08 dio la conformidad Diseño UX/UI.
En reunión de seguimiento entre el Proveedor, Banca Digital y TI del 27/08 el proveedor informo el avance de la implementación:
Infraestructura de QA: 20%
Implementación del ambiente de seguridad: 8.8%
Se están realizando la revisión en conjunto entre PeruApps y TI de la Matriz de Servicios para el desarrollo del MVP1.
25/07/2025: En reunión diaria el área usuaria comunico: 
•	El contratista solicito ampliación de plazo para la presentación del Informe de despliegue del ambiente de Desarrollo (DEV) sobre las observaciones reportadas por TI el 14.07. El área usuaria comunico la aceptación a la solicitud. Pendiente que informe la fecha de presentación.
•	El área usuaria dio la conformidad del Análisis Funcional el 25/07 y está pendiente la conformidad del Diseño UX/UI el 07/08. Se suscribió la 3era Adenda debido al fideicomiso asociado al Contratista.
17/07/2025:  El 24.06.2025 el contratista remitió el Informe de Despliegue Base (Componente 10.1. Servicios compartidos) y se reportó observaciones. El 11.07 el contratista remite la subsanación de las correcciones con el cual TI dará respuesta el 18/07.
Continua pendiente la aprobación de los entregables: Análisis Funcional, Diseño UX/UI, por parte del área usuaria.
07/07/2025:  El 24.06.2025 el contratista remitio, respecto al Informe de Despliegue Base (Componente 10.1. Servicios compartidos) , el 25.06.2025, TI mediante correo electroncico reporto las observaciones al Informe presentado. El 03.07.2025 , contratista remitio Carta Notarial del contratista, respecto a la Clausura Novena del Contrato. Siguen pendientes de aprobacion los entegables de funcionalidad (Casos de uso), infraestructura y user testing.
11/06/2025:Según la información enviada de Planeamiento en el mes de Mayo se precisa lo siguiente:
Incumplimiento de (03) entregables por parte de la empresa contratada relacionados a los temas de funcionalidad (Casos de uso), infraestructura y user testing.  Cabe resaltar que se firmó la adenda de mejora el 30.05.2025; sin embargo, está pendiente el cronograma consensuado con TI.
El área usuaria gestionará la solicitud de cambios por parte del área líder del proyecto
03/06/2025: Según la información enviada de Planeamiento mediante correo respecto al proyecto en el mes de abril se tiene que: Se cuenta en proceso de subsanaciòn por parte del proveedor, lo relacionado a la culminación de los casos de uso y observaciones del user testing efectuado. 
Asu vez, la adenda de mejora evaluada por el área legal cuenta con el informe de TI, el cual será remitido a la Gerencial General para su aprobación.
Se estima presentación de solicitud de cambios previo informe posterior a rpta de GG.
02/06/2025 En daily del 29/5/2025  se indico que Segunda Adenda se encuentra en Logistica. Asimismo las Epicas 1 y 2 se encuentraban firmadas y en procesos de firmas la Epica 3.
23/05/2025: Se registra el Proyecto Nueva Plataforma de Banca Móvil y Banca por Internet. Se registró en el Backlog.
07/05/2025: Según la información remitida por Planeamiento mediante correo: Se encuentra pendiente por parte del proveedor subsanar las observaciones formuladas a los casos de uso; por lo que aún no habrá acta de conformidad y se preparará informe de penalidad. 
07/05/2025: Se cambió el nombre del Proyecto "Nueva app BN y Nuevo Home Banking "Multired Virtual" "a  Plataforma de Banca Móvil y Banca por Internet, según lo remitido por Planeamiento.
30/4/2025: Se tuvo reunión con el equipo técnico de TI, equipo de Banca Digital y Gerencia General se respondieron las consultas técnicas  y se quedo a las la espera del pronunciamiento de Banca Digital sobre los precios unitarios.
22/4/2025: Se firmó Carta de Compromiso (Carta N° 018-2025-BN/7901) relacionado a las actividades en curso.
31/03/25: En respuesta a la Carta 009-PCDBN-PERUAPPS-2025 - "Entrega de Informe de Despliegue de la Implementación de la Infraestructura Base en AWS para los ambientes a Implementar (Desarrollo, Certificación y Producción)" se emite el infirme técnico N° 00000005 - 2025-BN/2550 el 05.03.2025 en el cual se remiten observaciones al entregable. 
El contratista remite la Carta 015-PCDBN-PERUAPPS-2025 - "Respuesta a Observaciones al Informe de Implementación Base de la Infraestructura AWS" y se emite el Informe Técnico 00000008 - 2025-BN/2550 el 31.04.2025 (se envió a través de correo) en el cual se solicita al contratista ampliar el sustento técnico y realizar ajustes al informe presentado. Se está a la espera de la respuesta del Contratista para que TI emita un nuevo informe el cual para que el área usuaria pueda solicitar la Adenda. Las actividades de Despliegue del ambiente DEV no se puede iniciar hasta la conformidad del despliegue de la Infraestructura Base AWS.
28/02/25: TI se encuentra participando en reuniones técnicas con el proveedor. Se tuvo reunión con el Contratista el 17/02 en el cual presentaron la "Matriz de Requerimiento – Implementación Infraestructura Base AWS  v1.0" en dicho cuadro se mostró componentes que no están incluidos en los TdR y componentes que si están incluidos en los TdR, sin embargo no se tenía la claridad si se estaba cumpliendo con todo lo indicado en los TdR. El equipo de Arquitectura elaboro una matriz con todos los ítems indicados en los TdR (funcionalidades, características) a fin que el contratista defina con que herramienta y/o componente se cubría lo indicado en los TdR, esto se remitió con la Carta N°003-2025-BN/7901 de fecha 25.02. Se indico al area responsable del contraro que coordine con Logista a cerca de los diferenciales (componentes que se indicaban en la matriz presentada por el contratista y que no están indicado en los TdR.
17/02/25: TI se encuentra participando en reuniones técnicas con el proveedor y en reuniones de trabajo funcional (opcional). El 17.02 El contratista remitió la Matriz de Trazabilidad de Requerimientos correspondiente al despliegue y se agendara reuniones para la revisión. 
31/02/25 El avance Sobre las actividades de Implementación de Infraestructura Cloud (AWS)  43% y Sobre las actividades del Diseño, desarrollo e implementación de la solución 12% En esta ultima actividad me indicaron que han avanzado con la elaboracion de 59 CU de un total de 286
03/06/2025: Según la información enviada de Planeamiento mediante correo respecto al proyecto en el mes de abril se tiene que: Se cuenta en proceso de subsanaciòn por parte del proveedor, lo relacionado a la culminación de los casos de uso y observaciones del user testing efectuado. 
Asu vez, la adenda de mejora evaluada por el área legal cuenta con el informe de TI, el cual será remitido a la Gerencial General para su aprobación.
Se estima presentación de solicitud de cambios previo informe posterior a rpta de GG.
30/5/2025: EL 30/5/2025 se firmo la Segunda Adenda al contrato. Se tiene firmado las EPICAS 1 y 2, y estan en proceso la Epica 3.
23/05/2025: Se registra el Proyecto Nueva Plataforma de Banca Móvil y Banca por Internet. Se registró en el Backlog.</t>
  </si>
  <si>
    <t>Transitorio_procesado</t>
  </si>
  <si>
    <t>15/01/26: Segun CQ el requerimiento fue atendido el el día 16/06/2025, pero el cierre del mantenimiento se dio el 15/01/26
13/06/25: Se registró en el Backlog.</t>
  </si>
  <si>
    <t>03/10/2025: Al cierre de setiembre, el proveedor cumplió la totalidad de las actividades programadas conforme al cronograma establecido. Asimismo, se concluyó el Informe de Cierre y las lecciones aprendidas, que serán remitidos a la Gerencia de Planeamiento y Control de Gestión.
05/09/2025: Se reportó que el proveedor culminó con las actividades de la etapa de implementación del proyecto de acuerdo con el cronograma planificado. Asimismo, se ha iniciado la elaboración del informe de cierre del proyecto y la recopilación de las lecciones aprendidas.
25/07/2025: Se culminó la instalación de los equipos en la Sede de Chiclayo. Actualmente, se han iniciado las actividades correspondientes a la configuración y migración.
07/07/2025: Se reportó que el proveedor ha culminado con la entrega de los bienes en las tres sedes contempladas en el alcance del proyecto. Asimismo, se ha finalizado la instalación de los equipos en las sedes de San Isidro y San Borja.
En cuanto a la sede de Chiclayo, se informó que la instalación se viene ejecutando de manera anticipada contribuyendo al cumplimiento oportuno de los hitos establecidos
16/06/2025: Se registró en el Backlog. Proyecto aprobado en Comité Ejecutivo de Proyectos, mediante acta N°3 del 19/03/2025.</t>
  </si>
  <si>
    <t>25/06/2025: Se regularizó requerimiento en el Backlog.</t>
  </si>
  <si>
    <t>Trasitorio_autorizado</t>
  </si>
  <si>
    <t>01/07/2025: Se registró requerimiento en el Backlog y se creó el trámite respectivo. Requerimiento asociado al Proyecto Sentinel (ID 2487)</t>
  </si>
  <si>
    <t>25/07/2025: Se registró en el Backlog como regularizado.</t>
  </si>
  <si>
    <t>30/12/2025: Según el acta de reunión del comité de proyectos, se debe agendar una reunión con las gerencias de TI, Planeamiento y Control de Gestión para reevaluar el alcance del proyecto y la gerencia de TI debe revisar las fechas propuestas del nuevo cronograma, el cual se pretende presentar a inicios del próximo año.
01/12/2025
Segun consta en Acta de Constitucion del Proyecto, el Proyecto seria de Marzo 2025 a Julio 2026, empezando la etapa de Desarrollo en Octubre 2025
Se debe indicar que la duracion estimada se realizo considerando la inclusion de tres recursos para la etapa de desarrollo.
Se realizaron coordinaciones con el lider tecnico designado de parte de TI, para la elaboracion de un cronograma previo de desarrollo de la aplicacion
 y agregar el tiempo estimado de certificacion y produccion.
Al 7 de Noviembre con tiempos estimados recibidos, se actualizo el cronograma y se advierte que este proyecto se extiende hasta Junio 2027,
debido a que ahora solo se incluye la participacion de solo un recurso en la etapa de desarrollo, y ademas el inicio de la etapa de desarrollo se actualizo de Octubre 2025 a Noviembre 2025
Al 01-12-2025 las actividades de Desarollo de la Aplicacion avanza, segun cronograma establecido 5%, y se lleva a cabo reuniones con el area usuario para su revision.
Se espera que en Febrero 2026, se cuente con 2 recursos adicionales, con lo que se podria acelerar las actividades y finalizar el proyecto , 
segun calculos realizados en Noviembre 2026.
"30/09/2025: Según la información enviada de Planeamiento en el mes de Septiembre se precisa lo siguiente:
 El proyecto “Aplicativo de Evaluación de Desempeño por Objetivos (EDDO)” . 
Desde su aprobación el 21 de agosto de 2025, se han cumplido los pasos formales requeridos,
 incluyendo la remisión de los documentos técnicos (FI, CN, AC) y el envío del Anexo 01 a la Gerencia de TI. 
A la fecha (13 de octubre de 2025), el proyecto se encuentra en proceso de confirmación del cronograma de atención 
con la Oficina de Proyectos y Procesos de TI, lo que evidencia un avance sostenido hacia la planificación del desarrollo del aplicativo. 
10/09/25: Se registró en el Backlog</t>
  </si>
  <si>
    <t>12/08/2025: Se registró el requerimiento perteneciente al Proyecto Sentinel en la Demanda Estratégica CT.
11/08/2025: Cartera reasignada a Percy Silva
30/05/25: Según CQ, actualizó el estado a 03. En Desarrollo
28/05/2025: Se regularizó requerimiento en el Backlog.</t>
  </si>
  <si>
    <t>Adecuación del proceso de extracción de datos de transacciones para el proyecto SENTINEL, continuación de las adecuaciones - TRX prioridad 2.</t>
  </si>
  <si>
    <t>07/07/2025: Se registró el requerimiento perteneciente al Proyecto Sentinel en la Demanda Estratégica CT.
01/07/2025: Se registró requerimiento en el Backlog y se creó el trámite respectivo. Requerimiento asociado al Proyecto Sentinel (ID 2487)</t>
  </si>
  <si>
    <t>Realizar cambios de ingeniería que se necesiten en los Cajeros Automáticos Depositarios a fin de que sean integrados en el aplicativo ESPLINK</t>
  </si>
  <si>
    <t>Registrado</t>
  </si>
  <si>
    <t>31/12/2025: Estamos avanzando con las actividades de desarrollo, planifcadas segun el cronograma establecido por el equipo, se acordo asignar mantenimientos a los equipos de Sistemas Bancarios y Sistemas Administrativos.
01/12/2025: Culminaron las actividades Etapa 1 de la prestación principal. Iniciamos la Etapa 2 con las actividades del equipo TI BN, Proveedor y Bevertec. Se está avanzando las actividades según el cronograma establecido por el equipo.
06/10/25: Se encuentra iniciando la etapa de revisión, se presentaron observaciones que fueron subsanados por el proveedor, está pendiente del informe de Seguridad Física. Luego de la presentación al día siguiente inicia los 200 días para la implementación. Los cajeros depositarios están en el laboratorio.
Pendiente de Bevertec remita su propuesta de los desarrollos.
05/09/2025: El 25/08 se entregaron los cinco (5) cajeros depositarios. El 26 y 27 de agosto los equipos de TI y área usuaria realizaron la verificación física de equipos. El equipo de TI elaborara el informe con las observaciones encontradas que serán remitidas al Proveedor para la subsanación de los mismos.
El 29/08 el área usuaria remitió mediante correo electrónico la documentación de los Cajeros Depositarios al equipo técnico el cual será regularizado mediante memorando. También se realizó la presentación de los flujos funcionales y el área usuaria debe actualizar y remitir el Anexo 1, asimismo se deberá elaborar el PCR para que el BN estime sus esfuerzos en las implementaciones pertinentes. El equipo de Construcción recomendó que se trabaje con más de un PRC a fin de agilizar las atenciones.
25/07/2025 De acuerdo a reunión del 07/07, el Proveedor Diebold remitió el manual técnico del ATM que se internará y los comandos para extracción de los contadores para interpretación del switch, el mismo que fue reenviado al Proveedor Bevertec. Queda pendiente que los usuarios remitan el Anexo 1 actualizado con los flujos de cada transacción, la definición de aquellas transacciones que van por contacless y la relación de dispositivos del ATM que serán monitoreados. El BN-Construcción se encuentra validando los desarrollos que serán trasladados al Proveedor Bevertec. Pendiente actualizar cronograma en coordinación con el Proveedor y usuarios.
17/07/2025: Actualmente se vienen desarrollando sesiones de trabajo conjuntas con TI, área usuaria y el proveedor Diebold. Se espera que el área usuaria remita su Anexo 1 actualizado de acuerdo a lo solicitado en reunión del 07/07. Se agendará reuniones para revisar el cronograma y definir actividades técnicas y plazos.
07/07/2025 : Actualmente se vienen desarrollando sesiones de trabajo conjuntas con la Gerencia de Tecnologías de Información y el proveedor Diebold, orientadas al diseño de la arquitectura de la solución y la gestión de los componentes de TI, en paralelo a la espera de la recepción física de los bienes.Asimismo sesiones con area usuario para definir el flujo funcional.
11/06/2025:Según la información enviada de Planeamiento en el mes de Mayo se precisa lo siguiente:
Se están realizando sesiones de trabajo para el diseño de la arquitectura de solución y gestión de componente de TI en conjunto con el equipo de la Gerencia de Tecnologías de Información y el proveedor Diebold, mientras se espera la recepción física de los bienes.
03/06/2025: Según la información enviada de Planeamiento mediante correo respecto al proyecto al mes de abril se tiene que: Se realizó la firma correspondiente del contrato con el postor ganador Diebold Nixdorf Perú SRL., asimismo, se llevó a cabo la ceremonia del Kickoff con las áreas correspondientes.
07/05/2025: Según la información remitida por Planeamiento mediante correo: Para lograr el perfeccionamiento del contrato, el postor ganador Diebold logró subsanar las observaciones de la respectiva documentación en coordinación con el área de Logística e Innovación Digital, lo cual permitirá que la firma de contrato se pueda concretar dentro de los plazos previstos.
31/01/25: Para lograr el perfeccionamiento del contrato, el postor ganador Diebold logró subsanar las observaciones de la respectiva documentación en coordinación con el área de Logística e Innovación Digital, lo cual permitirá que la firma de contrato se pueda concretar dentro de los plazos previstos.En absolución de consultas y observaciones hasta este viernes 31ene25.
31/12/2024: Al 13.12.2024 se encuentra en proceso de reformulación de ETMs por resolución del Tribunal OSCE declaró nulo el proceso de selección (05.12.2024).
El 27.12.2024 se convocó en el SEACE la LP-SM-4-2024-BN-1
23/05/24 Mediante acta de comité estratégico de proyectos con fecha 06.05.24 se aprobó el control de cambios del alcance del proyecto, los usuarios deben formalizar el nuevo cronograma del proyecto y remitirlo a planeamiento.
03/05/2024 Se ha devuelto Anexo 1 con observaciones
26/04/2024 Mediante correo de Pablo Arias se entrega el Anexo 1 del proyecto, el cuál se devuelve con observaciones notificadas dentro del documeneto al remitente en mención. A la espera de la devolución con observaciones levantadas, firmado y remitido por STD. 
26/04/2024 A la espera de remitirse a TI el Anexo 1 y Anexo 2, asi mismo el registro de los requerimientos en OPP para su posterior categorización de cartera.
25/04/2024 Mediante Memo N° 63-2024-BN2810 en que se entrega la nueva lista de proyectos con componente TI se crea el proyecto en base de datos y se asigna el Lider usuario al proyecto, anteriormente no existia. 
03/06/2025: Según la información enviada de Planeamiento mediante correo respecto al proyecto en el mes de abril se tiene que: Se realizó la firma correspondiente del contrato con el postor ganador Diebold Nixdorf Perú SRL., asimismo, se llevó a cabo la ceremonia del Kickoff con las áreas correspondientes.
02/06/2025  El 13/5/2025 se realizó reunión entre Contratista y Equipo TI  para revisar el alcance técnico del proyecto. El 29/5/2025  en ruenion con Banca Digital se solicito actualizar el Anexo 1, según observaciones indicadas durante la reunion.
09/05/2025:  El Kick Off  se relaizo el 29/4/2025 entre personal involucrado del BANCO y Contratista (Diebold Nixdorf Perú SRL) ; El 5/5/2025 el contratista remitio por mesa de partes el entregable: "Detalle técnico de la integración Contacless". Se programo una reunion inicial tecnica para el 13/5/2025 entre Banco y Diebold
22/04/25: El proyecto fue asignado al nuevo gestor Rubén Cerda de la empresa TSOFT a partir del 14/04.
04/04/25 Se ha coordinado con el equipo de Construcción para que se vaya planificando los desarrollos asociados al Proyecto. Se observó el Anexo 1 remitido por el usuario, se espera que realicen los ajustes a las precisiones indicadas en dicho documento.
07/02/2025: Se creó trámite y se registró en la Demanda Priorizada.</t>
  </si>
  <si>
    <t>Proyecto EDDO – Fase II: DashBoard (según determinado perfil), Consultas, Reportes con Gráficos, Notificaciones y publicación de resultados en POEM</t>
  </si>
  <si>
    <t>17/09/25: Se registró en el Backlog y se creó trámite. Proyecto hijo de ID 3025.</t>
  </si>
  <si>
    <t>Desarrollo de APIs para el Quiosco Multimedio</t>
  </si>
  <si>
    <t>02. En Ejecución</t>
  </si>
  <si>
    <t xml:space="preserve">04/07/2025: Se registró requerimiento en el Backlog. Requerimiento asociados al Proyecto Quiosco Multimedia
</t>
  </si>
  <si>
    <t>Pruebas de Modelos basados en reglas del entregable 10 – Proyecto Sentinel</t>
  </si>
  <si>
    <t>10/11/25: Se registró en Backlog. 
10/11/25: Se creo Tramite 
Proyecto Hijo de ID 1753</t>
  </si>
  <si>
    <t>Pruebas de Modelos basados en reglas del entregable 9 y 12 – Proyecto Sentinel</t>
  </si>
  <si>
    <t>10/11/25: Se registró en Backlog. 
10/11/25:  Se creo Tramite
Proyecto Hijo de ID 1749 y 442</t>
  </si>
  <si>
    <t>11/11/25: Se regularizó su registró en el Backlog. ID padre 2509</t>
  </si>
  <si>
    <t>Transitorio_Procesado</t>
  </si>
  <si>
    <t>CODIFICACION DE PROGRAMAS EXTRACTORES POR NUEVO PEDIDO ADICIONAL DE   OPLAFT</t>
  </si>
  <si>
    <t>11/11/25: Se regularizó su registró en el Backlog.</t>
  </si>
  <si>
    <t>SENT .- SOPORTE Y CODIFICACION DE PROGRAMAS EXTRACTORES USADOS EN EL PROYECTO SENTINEL</t>
  </si>
  <si>
    <t>01/12/25: Se regularizó su registró en el Backlog.</t>
  </si>
  <si>
    <t>2026-II</t>
  </si>
  <si>
    <t>07/01/26: Se registró en el Backlog.
07/01/26: Se registró en el Backlog.</t>
  </si>
  <si>
    <t xml:space="preserve">07/04/2026: Se registró en el Backlog
09/01/2026: Se creo tramite
Regularizacion
</t>
  </si>
  <si>
    <t>30/04/2026: Se registró en el Backlog.</t>
  </si>
  <si>
    <t>PROMSFBN-EO12-25-39  </t>
  </si>
  <si>
    <t>%ENE
2024</t>
  </si>
  <si>
    <t>%FEB
2024</t>
  </si>
  <si>
    <t>%MAR
2024</t>
  </si>
  <si>
    <t>% ABRIL
2024</t>
  </si>
  <si>
    <t>% MAY
2024</t>
  </si>
  <si>
    <t>% JUN
2024</t>
  </si>
  <si>
    <t>% JUL
2024</t>
  </si>
  <si>
    <t>% AGO
2024</t>
  </si>
  <si>
    <t>% SET
2024</t>
  </si>
  <si>
    <t>% OCT
2024</t>
  </si>
  <si>
    <t>% NOV
2024</t>
  </si>
  <si>
    <t>% DIC
2024</t>
  </si>
  <si>
    <t>%ENE
2025</t>
  </si>
  <si>
    <t>%FEB
2025</t>
  </si>
  <si>
    <t>%MAR
2025</t>
  </si>
  <si>
    <t>% ABRIL
2025</t>
  </si>
  <si>
    <t>% MAY
2025</t>
  </si>
  <si>
    <t>% JUN
2025</t>
  </si>
  <si>
    <t>% JUL
2025</t>
  </si>
  <si>
    <t>% AGO
2025</t>
  </si>
  <si>
    <t>% SET
2025</t>
  </si>
  <si>
    <t>% OCT
2025</t>
  </si>
  <si>
    <t>% NOV
2025</t>
  </si>
  <si>
    <t>% DIC
2025</t>
  </si>
  <si>
    <t>% ENE
2026</t>
  </si>
  <si>
    <t>% FEB
2026</t>
  </si>
  <si>
    <t>Código Iniciativa Propuesta</t>
  </si>
  <si>
    <t>Proyectos Priorizados</t>
  </si>
  <si>
    <t>Descripción</t>
  </si>
  <si>
    <t>Estado de TI</t>
  </si>
  <si>
    <t>Presuesto</t>
  </si>
  <si>
    <t>Tipo de Proyecto</t>
  </si>
  <si>
    <t>Planif</t>
  </si>
  <si>
    <t>Ejec</t>
  </si>
  <si>
    <t>Detalle del Estado a Febrero 2026</t>
  </si>
  <si>
    <t>Redefiniciones tecnológicas que generan retrasos en el cronograma. 
Clave Dinámica Digital (15/08/2025 – a la fecha)
Encriptación del PIN y del PAN (30/10/2025 – a la fecha)
Redefinición del acceso y arquitectura del Mainframe (26/01/2026 – a la fecha) 
Estos son los stoppers que impiden el comienzo integral sin reproceso que estaba proyectado para el 26/11/2025</t>
  </si>
  <si>
    <t>Control de cambios aprobado y al cierre del mes de febrero de 2026 se vienen realizando pruebas funcionales y técnicas en ambiente de desarrollo.</t>
  </si>
  <si>
    <t>En relación con la ETAPA I: MVP2 (salida) del proyecto Cuenta DNI, se tuvo una observación por parte de la CCE(Cámara de Compensación Electrónica) al Workbook, lo cual generó la necesidad de realizar un nuevo desarrollo por parte del proveedor Backbase, así como la ejecución de pruebas adicionales en el ambiente de Calidad antes de su pase a producción.
Este ajuste impactó las siguientes funcionalidades del canal móvil:
Transferencias interbancarias inmediatas de salida.
Transferencias por contacto de salida.
Transferencias mediante código QR de salida.
Nota: El Workbook es el documento donde se definen las reglas y flujos funcionales del proyecto, el cual sirve como base para el desarrollo y las validaciones técnicas por la CCE.</t>
  </si>
  <si>
    <t>Ene-2024
Proyecto culminado.</t>
  </si>
  <si>
    <t>Abr-2025
Proyecto culminado.</t>
  </si>
  <si>
    <t>Abr-2024
Proyecto culminado.</t>
  </si>
  <si>
    <t>Ago-2024
Proyecto culminado.</t>
  </si>
  <si>
    <t>Se culminó con los 10 procesos satisfactoriamente logrando pasar a producción en febrero 2026. En consecuencia, se solicita se cierre el proyecto Servicio de suscripción de licencia de software para la automatización robótica de procesos (RPA).
Se formalizó con la remisión del acta de cierre y el anexo de lecciones aprendidas del proyecto.</t>
  </si>
  <si>
    <t>En el mes de febrero se realizó la actualización de la herramienta con la finalidad de levantar las observaciones y vulnerabilidades identificadas en el ambiente de Calidad. Posteriormente, se ejecutó un nuevo escaneo de seguridad, mediante el cual se identificaron dos vulnerabilidades de nivel medio, las cuales fueron comunicadas al proveedor para la elaboración de su respectivo plan de remediación.
Asimismo, se dio inicio a las pruebas de usuario de los módulos, en coordinación con el área de TI.
A su vez, se inicio las gestiones para la presentación la solicitud de cambios del proyecto.</t>
  </si>
  <si>
    <t xml:space="preserve">Oct-2024
Proyecto culminado. </t>
  </si>
  <si>
    <t>Dic-2023
Proyecto culminado.</t>
  </si>
  <si>
    <t>Se viene coordinando con el proveedor la entrega del cronograma detallado de actividades, en el cual se evidencian los porcentajes de avance. Se estima contar con dicha información en marzo.</t>
  </si>
  <si>
    <t>Nov-2024
Proyecto culminado.</t>
  </si>
  <si>
    <t>Set-2024
Proyecto culminado.</t>
  </si>
  <si>
    <t>Jul-2024
Proyecto culminado.</t>
  </si>
  <si>
    <t>Ene-2025
Proyecto culminado.</t>
  </si>
  <si>
    <t>Se procede al cierre del proyecto, en cumplimento del acuerdo del Comité de Proyectos del 23.01.26, que precisa el retiro del proyecto del portafolio de proyectos: y su ratificación en el acuerdo del comité del 03.03.2026 que indica su cierre. Por lo cual, la Gerencia de Innovación y Transformación Digital gestiona la formalización del cierre con la remisión del acta de cierre y el anexo de lecciones aprendidas del proyecto.
Cabe señalar que al cierre de febrero el proyecto logra alcanzar el 93% del total planificado, destacando la culminación del marco normativo: políticas, principios, norma institucional, estructura de gobierno, roles, ciclo de vida del dato y procedimientos de auditoría, MOF, plan de gobierno con inventario, clasificación y documentación de datos. Asimismo, quedando pendiente a continuar el implementación del plan de comunicación/capacitación y el plan de metadatos y taxonomías.</t>
  </si>
  <si>
    <r>
      <t>Proyecto Cerrado:</t>
    </r>
    <r>
      <rPr>
        <sz val="10"/>
        <color rgb="FFFF0000"/>
        <rFont val="Arial"/>
        <family val="2"/>
      </rPr>
      <t xml:space="preserve"> Considerando que se ha logrado el objetivo estratégico del proyecto mediante la permanencia asegurada del Centro de Datos de Respaldo en su ubicación actual, se considera oportuno cerrar el proyecto ya que la necesidad de trasladar el centro de datos ya no esta latente y tenemos una ampliación de plazo debido a una negociación con el TC. Ante ello, la gerencia de TI solicitó el cierre del proyecto dentro del portafolio de proyectos.</t>
    </r>
  </si>
  <si>
    <t> </t>
  </si>
  <si>
    <t>Ene-2026
Proyecto culminado.</t>
  </si>
  <si>
    <t>En el proyecto Tarjeta Tesoro, se han remitido en reiteradas ocasiones comunicaciones al MEF; sin embargo, a la fecha no se cuenta con respuesta respecto al diseño de las tarjetas ni a la publicación de la normativa correspondiente.
Esta situación ha generado que el avance del proyecto dependa directamente de definiciones externas, lo cual ha impedido cumplir con lo planificado.
En ese contexto, en el Comité de Proyectos realizado el 03/03/2026, se acordó retirar el proyecto “Tarjeta Tesoro” de la cartera de proyectos estratégicos del Banco.</t>
  </si>
  <si>
    <t>Al cierre del mes de febrero se elaboró el cronograma para la presentación de la solicitud de cambios con ampliación de plazo coordinado con la Gerencia de Operaciones, Gerencia de TI, EL PROVEEDOR
La integración de AD, ISIM se dio satisfactoriamente 
Se está manteniendo reuniones con la SUNAT para la revisión de los detalles técnicos de la Integración de la plataforma.</t>
  </si>
  <si>
    <r>
      <rPr>
        <b/>
        <sz val="10"/>
        <color rgb="FFFF0000"/>
        <rFont val="Arial"/>
      </rPr>
      <t xml:space="preserve">Proyecto Cerrado: </t>
    </r>
    <r>
      <rPr>
        <sz val="10"/>
        <color rgb="FFFF0000"/>
        <rFont val="Arial"/>
      </rPr>
      <t xml:space="preserve">Según el acta de reunión N°08-2025 la Gerencia de Operaciones solicitó el cierre del proyecto debido a que previo a este proyecto se ha definido la necesidad de reforzar el sistema de Banca Empresarial del Banco de la Nación. </t>
    </r>
  </si>
  <si>
    <t xml:space="preserve">04/11/2025: Según el acta de reunión N°08-2025 la Gerencia de Operaciones solicitó el cierre del proyecto debido a que previo a este proyecto se ha definido la necesidad de reforzar el sistema de Banca Empresarial del Banco de la Nación. </t>
  </si>
  <si>
    <t>En el proyecto de Cajeros Depositarios, actualmente viene avanzando en la implementación de los flujos principales de la transacción de depósito, específicamente en las modalidades sin tarjeta y Contactless.
Asimismo, se está llevando a cabo la validación de las pantallas a nivel de front-end, con el objetivo de asegurar la correcta definición de la mensajería y la experiencia de usuario en cada etapa del proceso.
Adicionalmente, se viene trabajando en la definición de los flujos batch a nivel backend.</t>
  </si>
  <si>
    <t>PROYECTO</t>
  </si>
  <si>
    <t>CÓDIGO DE PLANEAMIENTO</t>
  </si>
  <si>
    <t>LIDER DEL PROYECTO</t>
  </si>
  <si>
    <t>LÍDER TÉCNICO</t>
  </si>
  <si>
    <t>FECHA COMPROMISO</t>
  </si>
  <si>
    <t>Pendientes</t>
  </si>
  <si>
    <t>Responsable</t>
  </si>
  <si>
    <t>Fecha Compromiso2</t>
  </si>
  <si>
    <t>Apoyo BN</t>
  </si>
  <si>
    <t>Proveedores</t>
  </si>
  <si>
    <t>Karin Robles</t>
  </si>
  <si>
    <t>Pendiente subsanar proveedor Temenos 2 observaciones</t>
  </si>
  <si>
    <t>Esther Cangalaya</t>
  </si>
  <si>
    <t>En Proceso</t>
  </si>
  <si>
    <t xml:space="preserve">Milagros Huamaní </t>
  </si>
  <si>
    <t>Marito Carbajo</t>
  </si>
  <si>
    <t> Mario Carbajo​</t>
  </si>
  <si>
    <t>Finalizado</t>
  </si>
  <si>
    <t>Hector Zevallos / Mario C / Rossana R</t>
  </si>
  <si>
    <t>En Proceso​</t>
  </si>
  <si>
    <t>Vladimir Cajavilca​</t>
  </si>
  <si>
    <t>Rossana Rojas / Alex Valencia</t>
  </si>
  <si>
    <t>Equipo técnico​</t>
  </si>
  <si>
    <t>Johnny Roca</t>
  </si>
  <si>
    <t>Karin Robles​</t>
  </si>
  <si>
    <t>En Proceso:​ Al 24/09 se encuentra al 55% de madurez de las pruebas de los canales al 25/09</t>
  </si>
  <si>
    <t>Norma Fukunaga​</t>
  </si>
  <si>
    <t xml:space="preserve">En Proceso​. Debe pasar a Produccion el mantenimiento de Comisiones </t>
  </si>
  <si>
    <t>Angela Risco​</t>
  </si>
  <si>
    <t>Pendiente de pase a produccion</t>
  </si>
  <si>
    <t>Doris Zumaeta​</t>
  </si>
  <si>
    <t>Por definir​: A la espera de la Estrategia de Migración</t>
  </si>
  <si>
    <t>Ricardo Cuba​</t>
  </si>
  <si>
    <t>Producción / Seguridad Informática</t>
  </si>
  <si>
    <t>Equipo Técnico​</t>
  </si>
  <si>
    <t>Lennie Valencia</t>
  </si>
  <si>
    <t>Area Usuaria</t>
  </si>
  <si>
    <t>Por Definir</t>
  </si>
  <si>
    <t>Pendiente - Se envio correo reiterando el envío del cronograma</t>
  </si>
  <si>
    <t>PeruApps</t>
  </si>
  <si>
    <t>Observado - Se envio observaciones al 1er informe 23/09</t>
  </si>
  <si>
    <t>Hector Zevallos</t>
  </si>
  <si>
    <t>Walter Tito</t>
  </si>
  <si>
    <t>Finalizado-  Desde el 19/09  al 25/09 - 2 horas diarias</t>
  </si>
  <si>
    <t>Seguridad Informática</t>
  </si>
  <si>
    <t>En Proceso - Se cambio la reunión del 25/09 al 26/09</t>
  </si>
  <si>
    <t>G1</t>
  </si>
  <si>
    <t>G2</t>
  </si>
  <si>
    <t>Lider 1</t>
  </si>
  <si>
    <t>Lider 2</t>
  </si>
  <si>
    <t>Lider 3</t>
  </si>
  <si>
    <t>Lider 4</t>
  </si>
  <si>
    <t>Lider 5</t>
  </si>
  <si>
    <t>Lider 6</t>
  </si>
  <si>
    <t>Lider 7</t>
  </si>
  <si>
    <t>Lider 8</t>
  </si>
  <si>
    <t>Lider 9</t>
  </si>
  <si>
    <t>Lider 10</t>
  </si>
  <si>
    <t>Lider 11</t>
  </si>
  <si>
    <t>Lider 12</t>
  </si>
  <si>
    <t>Lider 13</t>
  </si>
  <si>
    <t>Lider 14</t>
  </si>
  <si>
    <t>Lider 15</t>
  </si>
  <si>
    <t>Lider 16</t>
  </si>
  <si>
    <t>Lider 17</t>
  </si>
  <si>
    <t>Lider 18</t>
  </si>
  <si>
    <t>Lider 19</t>
  </si>
  <si>
    <t>Lider 20</t>
  </si>
  <si>
    <t>Lider 21</t>
  </si>
  <si>
    <t>Lider 22</t>
  </si>
  <si>
    <t>Lider 23</t>
  </si>
  <si>
    <t>Lider 24</t>
  </si>
  <si>
    <t>Lider 25</t>
  </si>
  <si>
    <t>Lider 26</t>
  </si>
  <si>
    <t>Lider 27</t>
  </si>
  <si>
    <t>Lider 28</t>
  </si>
  <si>
    <t>Lider 29</t>
  </si>
  <si>
    <t>Lider 30</t>
  </si>
  <si>
    <t>Lider 31</t>
  </si>
  <si>
    <t>Lider 32</t>
  </si>
  <si>
    <t>Lider 33</t>
  </si>
  <si>
    <t>Lider 34</t>
  </si>
  <si>
    <t>Lider 35</t>
  </si>
  <si>
    <t>Lider 36</t>
  </si>
  <si>
    <t>Lider 37</t>
  </si>
  <si>
    <t>Lider 38</t>
  </si>
  <si>
    <t>Lider 39</t>
  </si>
  <si>
    <t>Lider 40</t>
  </si>
  <si>
    <t>Lider 41</t>
  </si>
  <si>
    <t>Usuario 1</t>
  </si>
  <si>
    <t>Usuario 2</t>
  </si>
  <si>
    <t>Usuario 3</t>
  </si>
  <si>
    <t>Usuario 4</t>
  </si>
  <si>
    <t>Usuario 5</t>
  </si>
  <si>
    <t>Usuario 6</t>
  </si>
  <si>
    <t>Usuario 7</t>
  </si>
  <si>
    <t>Usuario 8</t>
  </si>
  <si>
    <t>Usuario 9</t>
  </si>
  <si>
    <t>Usuario 10</t>
  </si>
  <si>
    <t>Usuario 11</t>
  </si>
  <si>
    <t>Usuario 12</t>
  </si>
  <si>
    <t>Usuario 13</t>
  </si>
  <si>
    <t>Usuario 14</t>
  </si>
  <si>
    <t>Usuario 15</t>
  </si>
  <si>
    <t>Usuario 16</t>
  </si>
  <si>
    <t>Usuario 17</t>
  </si>
  <si>
    <t>Usuario 18</t>
  </si>
  <si>
    <t>Usuario 19</t>
  </si>
  <si>
    <t>Usuario 20</t>
  </si>
  <si>
    <t>Usuario 21</t>
  </si>
  <si>
    <t>Usuario 22</t>
  </si>
  <si>
    <t>Usuario 23</t>
  </si>
  <si>
    <t>Usuario 24</t>
  </si>
  <si>
    <t>Usuario 25</t>
  </si>
  <si>
    <t>Usuario 26</t>
  </si>
  <si>
    <t>Usuario 27</t>
  </si>
  <si>
    <t>Usuario 28</t>
  </si>
  <si>
    <t>Usuario 29</t>
  </si>
  <si>
    <t>Usuario 30</t>
  </si>
  <si>
    <t>Usuario 31</t>
  </si>
  <si>
    <t>Usuario 32</t>
  </si>
  <si>
    <t>Usuario 33</t>
  </si>
  <si>
    <t>Usuario 34</t>
  </si>
  <si>
    <t>Usuario 35</t>
  </si>
  <si>
    <t>Usuario 36</t>
  </si>
  <si>
    <t>Usuario 37</t>
  </si>
  <si>
    <t>Usuario 38</t>
  </si>
  <si>
    <t>Usuario 39</t>
  </si>
  <si>
    <t>Usuario 40</t>
  </si>
  <si>
    <t>Usuario 41</t>
  </si>
  <si>
    <t>Gestor 1</t>
  </si>
  <si>
    <t>Gestor 2</t>
  </si>
  <si>
    <t>Gestor 3</t>
  </si>
  <si>
    <t>Gestor 4</t>
  </si>
  <si>
    <t>Gestor 5</t>
  </si>
  <si>
    <t>Gestor 6</t>
  </si>
  <si>
    <t>Gestor 7</t>
  </si>
  <si>
    <t>Gestor 8</t>
  </si>
  <si>
    <t>Gestor 9</t>
  </si>
  <si>
    <t>Gestor 10</t>
  </si>
  <si>
    <t>Gestor 11</t>
  </si>
  <si>
    <t>Gestor 12</t>
  </si>
  <si>
    <t>Gestor 13</t>
  </si>
  <si>
    <t>Gestor 14</t>
  </si>
  <si>
    <t>Gestor 15</t>
  </si>
  <si>
    <t>Gestor 16</t>
  </si>
  <si>
    <t>Gestor 17</t>
  </si>
  <si>
    <t>Gestor 18</t>
  </si>
  <si>
    <t>Gestor 19</t>
  </si>
  <si>
    <t>Gestor 20</t>
  </si>
  <si>
    <t>Gestor 21</t>
  </si>
  <si>
    <t>Gestor 22</t>
  </si>
  <si>
    <t>Gestor 23</t>
  </si>
  <si>
    <t>Gestor 24</t>
  </si>
  <si>
    <t>Gestor 25</t>
  </si>
  <si>
    <t>Gestor 26</t>
  </si>
  <si>
    <t>Gestor 27</t>
  </si>
  <si>
    <t>Gestor 28</t>
  </si>
  <si>
    <t>Gestor 29</t>
  </si>
  <si>
    <t>Gestor 30</t>
  </si>
  <si>
    <t>Gestor 31</t>
  </si>
  <si>
    <t>Gestor 32</t>
  </si>
  <si>
    <t>Gestor 33</t>
  </si>
  <si>
    <t>Gestor 34</t>
  </si>
  <si>
    <t>Gestor 35</t>
  </si>
  <si>
    <t>Gestor 36</t>
  </si>
  <si>
    <t>Gestor 37</t>
  </si>
  <si>
    <t>Gestor 38</t>
  </si>
  <si>
    <t>Gestor 39</t>
  </si>
  <si>
    <t>Gestor 40</t>
  </si>
  <si>
    <t>Gestor 41</t>
  </si>
  <si>
    <t>Proyecto 1</t>
  </si>
  <si>
    <t>Proyecto 2</t>
  </si>
  <si>
    <t>Proyecto 3</t>
  </si>
  <si>
    <t>Proyecto 4</t>
  </si>
  <si>
    <t>Proyecto 5</t>
  </si>
  <si>
    <t>Proyecto 6</t>
  </si>
  <si>
    <t>Proyecto 7</t>
  </si>
  <si>
    <t>Proyecto 8</t>
  </si>
  <si>
    <t>Proyecto 9</t>
  </si>
  <si>
    <t>Proyecto 10</t>
  </si>
  <si>
    <t>Proyecto 11</t>
  </si>
  <si>
    <t>Proyecto 12</t>
  </si>
  <si>
    <t>Proyecto 13</t>
  </si>
  <si>
    <t>Proyecto 14</t>
  </si>
  <si>
    <t>Proyecto 15</t>
  </si>
  <si>
    <t>Proyecto 16</t>
  </si>
  <si>
    <t>Proyecto 17</t>
  </si>
  <si>
    <t>Proyecto 18</t>
  </si>
  <si>
    <t>Proyecto 19</t>
  </si>
  <si>
    <t>Proyecto 20</t>
  </si>
  <si>
    <t>Proyecto 21</t>
  </si>
  <si>
    <t>Proyecto 22</t>
  </si>
  <si>
    <t>Proyecto 23</t>
  </si>
  <si>
    <t>Proyecto 24</t>
  </si>
  <si>
    <t>Proyecto 25</t>
  </si>
  <si>
    <t>Proyecto 26</t>
  </si>
  <si>
    <t>Proyecto 27</t>
  </si>
  <si>
    <t>Proyecto 28</t>
  </si>
  <si>
    <t>Proyecto 29</t>
  </si>
  <si>
    <t>Proyecto 30</t>
  </si>
  <si>
    <t>Proyecto 31</t>
  </si>
  <si>
    <t>Proyecto 32</t>
  </si>
  <si>
    <t>Proyecto 33</t>
  </si>
  <si>
    <t>Proyecto 34</t>
  </si>
  <si>
    <t>Proyecto 35</t>
  </si>
  <si>
    <t>Proyecto 36</t>
  </si>
  <si>
    <t>Proyecto 37</t>
  </si>
  <si>
    <t>Proyecto 38</t>
  </si>
  <si>
    <t>Proyecto 39</t>
  </si>
  <si>
    <t>Proyecto 40</t>
  </si>
  <si>
    <t>Proyecto 41</t>
  </si>
  <si>
    <t>Dimension 1</t>
  </si>
  <si>
    <t>Dimension 2</t>
  </si>
  <si>
    <t>Cartera 1</t>
  </si>
  <si>
    <t>Cartera 2</t>
  </si>
  <si>
    <t>Proyecto 42</t>
  </si>
  <si>
    <t>Proyecto 43</t>
  </si>
  <si>
    <t>Proyecto 44</t>
  </si>
  <si>
    <t>Proyecto 45</t>
  </si>
  <si>
    <t>Proyecto 46</t>
  </si>
  <si>
    <t>Proyecto 47</t>
  </si>
  <si>
    <t>Proyecto 48</t>
  </si>
  <si>
    <t>Proyecto 49</t>
  </si>
  <si>
    <t>Proyecto 50</t>
  </si>
  <si>
    <t>Proyecto 51</t>
  </si>
  <si>
    <t>Proyecto 52</t>
  </si>
  <si>
    <t>Proyecto 53</t>
  </si>
  <si>
    <t>Proyecto 54</t>
  </si>
  <si>
    <t>Proyecto 55</t>
  </si>
  <si>
    <t>Proyecto 56</t>
  </si>
  <si>
    <t>Proyecto 57</t>
  </si>
  <si>
    <t>Proyecto 58</t>
  </si>
  <si>
    <t>Proyecto 59</t>
  </si>
  <si>
    <t>Proyecto 60</t>
  </si>
  <si>
    <t>Proyecto 61</t>
  </si>
  <si>
    <t>Proyecto 62</t>
  </si>
  <si>
    <t>Proyecto 63</t>
  </si>
  <si>
    <t>Proyecto 64</t>
  </si>
  <si>
    <t>Proyecto 65</t>
  </si>
  <si>
    <t>Proyecto 66</t>
  </si>
  <si>
    <t>Proyecto 67</t>
  </si>
  <si>
    <t>Proyecto 68</t>
  </si>
  <si>
    <t>Proyecto 69</t>
  </si>
  <si>
    <t>Proyecto 70</t>
  </si>
  <si>
    <t>Proyecto 71</t>
  </si>
  <si>
    <t>Proyecto 72</t>
  </si>
  <si>
    <t>Proyecto 73</t>
  </si>
  <si>
    <t>Proyecto 74</t>
  </si>
  <si>
    <t>Proyecto 75</t>
  </si>
  <si>
    <t>Proyecto 76</t>
  </si>
  <si>
    <t>Proyecto 77</t>
  </si>
  <si>
    <t>Proyecto 78</t>
  </si>
  <si>
    <t>Proyecto 79</t>
  </si>
  <si>
    <t>Proyecto 80</t>
  </si>
  <si>
    <t>Proyecto 81</t>
  </si>
  <si>
    <t>Proyecto 82</t>
  </si>
  <si>
    <t>Proyecto 83</t>
  </si>
  <si>
    <t>Proyecto 84</t>
  </si>
  <si>
    <t>Proyecto 85</t>
  </si>
  <si>
    <t>Proyecto 86</t>
  </si>
  <si>
    <t>Proyecto 87</t>
  </si>
  <si>
    <t>Proyecto 88</t>
  </si>
  <si>
    <t>Proyecto 89</t>
  </si>
  <si>
    <t>Proyecto 90</t>
  </si>
  <si>
    <t>Proyecto 91</t>
  </si>
  <si>
    <t>Proyecto 92</t>
  </si>
  <si>
    <t>Proyecto 93</t>
  </si>
  <si>
    <t>Proyecto 94</t>
  </si>
  <si>
    <t>Proyecto 95</t>
  </si>
  <si>
    <t>Proyecto 96</t>
  </si>
  <si>
    <t>Proyecto 97</t>
  </si>
  <si>
    <t>Proyecto 98</t>
  </si>
  <si>
    <t>Proyecto 99</t>
  </si>
  <si>
    <t>Proyecto 100</t>
  </si>
  <si>
    <t>Proyecto 101</t>
  </si>
  <si>
    <t>Proyecto 102</t>
  </si>
  <si>
    <t>Proyecto 103</t>
  </si>
  <si>
    <t>Proyecto 104</t>
  </si>
  <si>
    <t>Proyecto 105</t>
  </si>
  <si>
    <t>Proyecto 106</t>
  </si>
  <si>
    <t>Proyecto 107</t>
  </si>
  <si>
    <t>Proyecto 108</t>
  </si>
  <si>
    <t>Proyecto 109</t>
  </si>
  <si>
    <t>Proyecto 110</t>
  </si>
  <si>
    <t>Proyecto 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</si>
</sst>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5" formatCode="&quot;S/&quot;\ #,##0.00"/>
    <numFmt numFmtId="166" formatCode="dd/mm/yyyy;@"/>
    <numFmt numFmtId="167" formatCode="m/d/yyyy"/>
  </numFmts>
  <fonts count="45"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
      <b/>
      <sz val="10"/>
      <color theme="1"/>
      <name val="Calibri"/>
      <family val="2"/>
      <scheme val="minor"/>
    </font>
    <font>
      <b/>
      <sz val="10"/>
      <color rgb="FF1923EB"/>
      <name val="Calibri"/>
      <family val="2"/>
      <scheme val="minor"/>
    </font>
    <font>
      <b/>
      <sz val="10"/>
      <color rgb="FFFF0000"/>
      <name val="Calibri"/>
      <family val="2"/>
      <scheme val="minor"/>
    </font>
    <font>
      <sz val="10"/>
      <color rgb="FF000000"/>
      <name val="Arial"/>
      <family val="2"/>
    </font>
    <font>
      <sz val="10"/>
      <color rgb="FFFF0000"/>
      <name val="Calibri"/>
      <family val="2"/>
      <scheme val="minor"/>
    </font>
    <font>
      <sz val="11"/>
      <name val="Calibri"/>
      <family val="2"/>
    </font>
    <font>
      <sz val="11"/>
      <color theme="1"/>
      <name val="Arial"/>
      <family val="2"/>
    </font>
    <font>
      <sz val="10"/>
      <name val="Calibri"/>
      <family val="2"/>
      <scheme val="minor"/>
    </font>
    <font>
      <b/>
      <sz val="10"/>
      <color rgb="FFFFFFFF"/>
      <name val="Arial"/>
      <family val="2"/>
    </font>
    <font>
      <b/>
      <sz val="10"/>
      <color theme="0"/>
      <name val="Arial"/>
      <family val="2"/>
    </font>
    <font>
      <sz val="10"/>
      <name val="Arial"/>
      <family val="2"/>
    </font>
    <font>
      <b/>
      <u/>
      <sz val="20"/>
      <color theme="1"/>
      <name val="Calibri"/>
      <family val="2"/>
      <scheme val="minor"/>
    </font>
    <font>
      <sz val="20"/>
      <color theme="1"/>
      <name val="Calibri"/>
      <family val="2"/>
      <scheme val="minor"/>
    </font>
    <font>
      <b/>
      <sz val="14"/>
      <color theme="1"/>
      <name val="Calibri"/>
      <family val="2"/>
      <scheme val="minor"/>
    </font>
    <font>
      <sz val="14"/>
      <color theme="1"/>
      <name val="Calibri"/>
      <family val="2"/>
      <scheme val="minor"/>
    </font>
    <font>
      <b/>
      <sz val="10"/>
      <name val="Calibri"/>
      <family val="2"/>
      <scheme val="minor"/>
    </font>
    <font>
      <sz val="10"/>
      <color theme="1"/>
      <name val="Calibri"/>
      <scheme val="minor"/>
    </font>
    <font>
      <sz val="10"/>
      <color rgb="FF1923EB"/>
      <name val="Calibri"/>
      <family val="2"/>
      <scheme val="minor"/>
    </font>
    <font>
      <sz val="10"/>
      <color rgb="FF000000"/>
      <name val="Calibri"/>
      <family val="2"/>
    </font>
    <font>
      <sz val="10"/>
      <name val="Calibri"/>
      <family val="2"/>
    </font>
    <font>
      <b/>
      <sz val="10"/>
      <color rgb="FF000000"/>
      <name val="Calibri"/>
      <family val="2"/>
      <scheme val="minor"/>
    </font>
    <font>
      <u/>
      <sz val="11"/>
      <color theme="10"/>
      <name val="Calibri"/>
      <family val="2"/>
      <scheme val="minor"/>
    </font>
    <font>
      <sz val="11"/>
      <color rgb="FF000000"/>
      <name val="Calibri"/>
    </font>
    <font>
      <b/>
      <sz val="11"/>
      <color rgb="FFFFFFFF"/>
      <name val="Calibri"/>
    </font>
    <font>
      <sz val="10"/>
      <color rgb="FFFF0000"/>
      <name val="Calibri"/>
      <scheme val="minor"/>
    </font>
    <font>
      <sz val="10"/>
      <color rgb="FF000000"/>
      <name val="Calibri"/>
      <scheme val="minor"/>
    </font>
    <font>
      <sz val="10"/>
      <name val="Arial Narrow"/>
    </font>
    <font>
      <b/>
      <sz val="10"/>
      <name val="Arial"/>
      <family val="2"/>
    </font>
    <font>
      <sz val="10"/>
      <color rgb="FFFF0000"/>
      <name val="Arial"/>
      <family val="2"/>
    </font>
    <font>
      <b/>
      <sz val="10"/>
      <color rgb="FFFF0000"/>
      <name val="Arial"/>
      <family val="2"/>
    </font>
    <font>
      <b/>
      <sz val="10"/>
      <color rgb="FF1923EB"/>
      <name val="Calibri"/>
    </font>
    <font>
      <b/>
      <sz val="10"/>
      <color rgb="FF4472C4"/>
      <name val="Calibri"/>
    </font>
    <font>
      <b/>
      <sz val="10"/>
      <color rgb="FF000000"/>
      <name val="Calibri"/>
    </font>
    <font>
      <sz val="8"/>
      <name val="Calibri"/>
      <family val="2"/>
      <scheme val="minor"/>
    </font>
    <font>
      <b/>
      <sz val="10"/>
      <color rgb="FFFF0000"/>
      <name val="Arial"/>
    </font>
    <font>
      <sz val="10"/>
      <color rgb="FFFF0000"/>
      <name val="Arial"/>
    </font>
    <font>
      <b/>
      <sz val="10"/>
      <color rgb="FF1923EB"/>
      <name val="Arial Narrow"/>
    </font>
    <font>
      <sz val="10"/>
      <color rgb="FF000000"/>
      <name val="Calibri"/>
    </font>
    <font>
      <b/>
      <sz val="10"/>
      <color rgb="FF0070C0"/>
      <name val="Calibri"/>
      <family val="2"/>
      <scheme val="minor"/>
    </font>
    <font>
      <b/>
      <sz val="10"/>
      <color rgb="FF000000"/>
      <name val="Arial"/>
      <family val="2"/>
    </font>
  </fonts>
  <fills count="34">
    <fill>
      <patternFill patternType="none"/>
    </fill>
    <fill>
      <patternFill patternType="gray125"/>
    </fill>
    <fill>
      <patternFill patternType="solid">
        <fgColor rgb="FFFFFFFF"/>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
      <patternFill patternType="solid">
        <fgColor rgb="FF1E4E79"/>
        <bgColor indexed="64"/>
      </patternFill>
    </fill>
    <fill>
      <patternFill patternType="solid">
        <fgColor theme="6" tint="0.79998168889431442"/>
        <bgColor indexed="64"/>
      </patternFill>
    </fill>
    <fill>
      <patternFill patternType="solid">
        <fgColor rgb="FF002060"/>
        <bgColor indexed="64"/>
      </patternFill>
    </fill>
    <fill>
      <patternFill patternType="solid">
        <fgColor theme="9" tint="0.59999389629810485"/>
        <bgColor indexed="64"/>
      </patternFill>
    </fill>
    <fill>
      <patternFill patternType="solid">
        <fgColor rgb="FFFFC000"/>
        <bgColor rgb="FFFFC000"/>
      </patternFill>
    </fill>
    <fill>
      <patternFill patternType="solid">
        <fgColor rgb="FF00B0F0"/>
        <bgColor indexed="64"/>
      </patternFill>
    </fill>
    <fill>
      <patternFill patternType="solid">
        <fgColor rgb="FF7030A0"/>
        <bgColor indexed="64"/>
      </patternFill>
    </fill>
    <fill>
      <patternFill patternType="solid">
        <fgColor rgb="FF203764"/>
        <bgColor rgb="FF000000"/>
      </patternFill>
    </fill>
    <fill>
      <patternFill patternType="solid">
        <fgColor rgb="FF00B050"/>
        <bgColor indexed="64"/>
      </patternFill>
    </fill>
    <fill>
      <patternFill patternType="solid">
        <fgColor theme="8" tint="-0.249977111117893"/>
        <bgColor indexed="64"/>
      </patternFill>
    </fill>
    <fill>
      <patternFill patternType="solid">
        <fgColor rgb="FF1923EB"/>
        <bgColor indexed="64"/>
      </patternFill>
    </fill>
    <fill>
      <patternFill patternType="solid">
        <fgColor theme="9" tint="0.79998168889431442"/>
        <bgColor indexed="64"/>
      </patternFill>
    </fill>
    <fill>
      <patternFill patternType="solid">
        <fgColor rgb="FFD9D9D9"/>
        <bgColor rgb="FFD9D9D9"/>
      </patternFill>
    </fill>
    <fill>
      <patternFill patternType="solid">
        <fgColor rgb="FF000000"/>
        <bgColor rgb="FF000000"/>
      </patternFill>
    </fill>
    <fill>
      <patternFill patternType="solid">
        <fgColor theme="8"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DB7676"/>
        <bgColor indexed="64"/>
      </patternFill>
    </fill>
    <fill>
      <patternFill patternType="solid">
        <fgColor rgb="FFFFFF00"/>
        <bgColor rgb="FF000000"/>
      </patternFill>
    </fill>
    <fill>
      <patternFill patternType="solid">
        <fgColor theme="0" tint="-0.14999847407452621"/>
        <bgColor indexed="64"/>
      </patternFill>
    </fill>
    <fill>
      <patternFill patternType="solid">
        <fgColor rgb="FFFFE082"/>
        <bgColor indexed="64"/>
      </patternFill>
    </fill>
    <fill>
      <patternFill patternType="solid">
        <fgColor theme="2"/>
        <bgColor indexed="64"/>
      </patternFill>
    </fill>
  </fills>
  <borders count="26">
    <border>
      <left/>
      <right/>
      <top/>
      <bottom/>
      <diagonal/>
    </border>
    <border>
      <left style="medium">
        <color rgb="FFD9D9D9"/>
      </left>
      <right style="medium">
        <color rgb="FFD9D9D9"/>
      </right>
      <top style="mediumDashed">
        <color rgb="FFFF0000"/>
      </top>
      <bottom style="mediumDashed">
        <color rgb="FFFF0000"/>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theme="1"/>
      </top>
      <bottom style="thin">
        <color theme="1"/>
      </bottom>
      <diagonal/>
    </border>
    <border>
      <left style="dotted">
        <color auto="1"/>
      </left>
      <right style="dotted">
        <color auto="1"/>
      </right>
      <top/>
      <bottom style="dotted">
        <color auto="1"/>
      </bottom>
      <diagonal/>
    </border>
    <border>
      <left style="medium">
        <color rgb="FFD9D9D9"/>
      </left>
      <right style="medium">
        <color rgb="FFD9D9D9"/>
      </right>
      <top style="mediumDashed">
        <color rgb="FFFF0000"/>
      </top>
      <bottom style="thin">
        <color rgb="FF000000"/>
      </bottom>
      <diagonal/>
    </border>
    <border>
      <left style="medium">
        <color rgb="FFD9D9D9"/>
      </left>
      <right style="medium">
        <color rgb="FFD9D9D9"/>
      </right>
      <top style="thin">
        <color rgb="FF000000"/>
      </top>
      <bottom style="mediumDashed">
        <color rgb="FFFF0000"/>
      </bottom>
      <diagonal/>
    </border>
    <border>
      <left style="medium">
        <color rgb="FFD9D9D9"/>
      </left>
      <right style="medium">
        <color rgb="FFD9D9D9"/>
      </right>
      <top style="thin">
        <color rgb="FF000000"/>
      </top>
      <bottom style="thin">
        <color rgb="FF000000"/>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top style="dotted">
        <color auto="1"/>
      </top>
      <bottom style="dotted">
        <color auto="1"/>
      </bottom>
      <diagonal/>
    </border>
    <border>
      <left/>
      <right style="dotted">
        <color auto="1"/>
      </right>
      <top style="dotted">
        <color auto="1"/>
      </top>
      <bottom style="dotted">
        <color auto="1"/>
      </bottom>
      <diagonal/>
    </border>
    <border>
      <left/>
      <right/>
      <top style="thin">
        <color rgb="FF000000"/>
      </top>
      <bottom style="thin">
        <color rgb="FF000000"/>
      </bottom>
      <diagonal/>
    </border>
    <border>
      <left style="thin">
        <color rgb="FF000000"/>
      </left>
      <right style="thin">
        <color rgb="FF000000"/>
      </right>
      <top/>
      <bottom/>
      <diagonal/>
    </border>
  </borders>
  <cellStyleXfs count="4">
    <xf numFmtId="0" fontId="0" fillId="0" borderId="0"/>
    <xf numFmtId="9" fontId="1" fillId="0" borderId="0" applyFont="0" applyFill="0" applyBorder="0" applyAlignment="0" applyProtection="0"/>
    <xf numFmtId="0" fontId="11" fillId="0" borderId="0"/>
    <xf numFmtId="0" fontId="26" fillId="0" borderId="0" applyNumberFormat="0" applyFill="0" applyBorder="0" applyAlignment="0" applyProtection="0"/>
  </cellStyleXfs>
  <cellXfs count="356">
    <xf numFmtId="0" fontId="0" fillId="0" borderId="0" xfId="0"/>
    <xf numFmtId="0" fontId="0" fillId="0" borderId="0" xfId="0" applyAlignment="1">
      <alignment horizontal="center"/>
    </xf>
    <xf numFmtId="0" fontId="0" fillId="0" borderId="0" xfId="0" applyAlignment="1">
      <alignment horizontal="center" vertical="center"/>
    </xf>
    <xf numFmtId="0" fontId="3" fillId="0" borderId="2" xfId="0" applyFont="1" applyBorder="1" applyAlignment="1">
      <alignment horizontal="center" vertical="center" wrapText="1"/>
    </xf>
    <xf numFmtId="0" fontId="3" fillId="9" borderId="2" xfId="0" applyFont="1" applyFill="1" applyBorder="1" applyAlignment="1">
      <alignment horizontal="center" vertical="center" wrapText="1"/>
    </xf>
    <xf numFmtId="0" fontId="3" fillId="0" borderId="0" xfId="0" applyFont="1" applyAlignment="1">
      <alignment horizontal="center" vertical="center"/>
    </xf>
    <xf numFmtId="0" fontId="3" fillId="0" borderId="2" xfId="0" applyFont="1" applyBorder="1" applyAlignment="1">
      <alignment horizontal="left" vertical="top" wrapText="1"/>
    </xf>
    <xf numFmtId="0" fontId="3" fillId="0" borderId="3" xfId="0" applyFont="1" applyBorder="1" applyAlignment="1">
      <alignment horizontal="center" vertical="center" wrapText="1"/>
    </xf>
    <xf numFmtId="0" fontId="3" fillId="0" borderId="0" xfId="0" applyFont="1"/>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left" vertical="top" wrapText="1"/>
    </xf>
    <xf numFmtId="165" fontId="3" fillId="0" borderId="0" xfId="0" applyNumberFormat="1" applyFont="1" applyAlignment="1">
      <alignment horizontal="center" vertical="center" wrapText="1"/>
    </xf>
    <xf numFmtId="0" fontId="3" fillId="0" borderId="2" xfId="0" applyFont="1" applyBorder="1" applyAlignment="1">
      <alignment horizontal="center" vertical="center"/>
    </xf>
    <xf numFmtId="166" fontId="3" fillId="0" borderId="2" xfId="0" applyNumberFormat="1" applyFont="1" applyBorder="1" applyAlignment="1">
      <alignment horizontal="center" vertical="center" wrapText="1"/>
    </xf>
    <xf numFmtId="165" fontId="3" fillId="0" borderId="2" xfId="0" applyNumberFormat="1" applyFont="1" applyBorder="1" applyAlignment="1">
      <alignment horizontal="center" vertical="center" wrapText="1"/>
    </xf>
    <xf numFmtId="9" fontId="3" fillId="0" borderId="2" xfId="0" applyNumberFormat="1" applyFont="1" applyBorder="1" applyAlignment="1">
      <alignment horizontal="center" vertical="center"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0" fontId="5" fillId="3" borderId="0" xfId="0" applyFont="1" applyFill="1" applyAlignment="1">
      <alignment horizontal="center" vertical="center"/>
    </xf>
    <xf numFmtId="0" fontId="5" fillId="3" borderId="0" xfId="0" applyFont="1" applyFill="1" applyAlignment="1">
      <alignment horizontal="center" vertical="center" wrapText="1"/>
    </xf>
    <xf numFmtId="0" fontId="5" fillId="0" borderId="0" xfId="0" applyFont="1" applyAlignment="1">
      <alignment horizontal="center" vertical="center"/>
    </xf>
    <xf numFmtId="0" fontId="5" fillId="14" borderId="0" xfId="0" applyFont="1" applyFill="1" applyAlignment="1">
      <alignment horizontal="center" vertical="center" wrapText="1"/>
    </xf>
    <xf numFmtId="0" fontId="5" fillId="8" borderId="0" xfId="0" applyFont="1" applyFill="1" applyAlignment="1">
      <alignment horizontal="center" vertical="center" wrapText="1"/>
    </xf>
    <xf numFmtId="9" fontId="3" fillId="0" borderId="2" xfId="1" applyFont="1" applyBorder="1" applyAlignment="1">
      <alignment horizontal="center" vertical="center" wrapText="1"/>
    </xf>
    <xf numFmtId="0" fontId="2" fillId="3" borderId="0" xfId="0" applyFont="1" applyFill="1" applyAlignment="1">
      <alignment horizontal="center" vertical="center" wrapText="1"/>
    </xf>
    <xf numFmtId="0" fontId="3" fillId="0" borderId="3" xfId="0" applyFont="1" applyBorder="1" applyAlignment="1">
      <alignment horizontal="center" vertical="center"/>
    </xf>
    <xf numFmtId="165" fontId="3" fillId="0" borderId="3" xfId="0" applyNumberFormat="1" applyFont="1" applyBorder="1" applyAlignment="1">
      <alignment horizontal="center" vertical="center" wrapText="1"/>
    </xf>
    <xf numFmtId="166" fontId="3" fillId="0" borderId="3" xfId="0" applyNumberFormat="1" applyFont="1" applyBorder="1" applyAlignment="1">
      <alignment horizontal="center" vertical="center" wrapText="1"/>
    </xf>
    <xf numFmtId="9" fontId="3" fillId="0" borderId="3" xfId="0" applyNumberFormat="1" applyFont="1" applyBorder="1" applyAlignment="1">
      <alignment horizontal="center" vertical="center" wrapText="1"/>
    </xf>
    <xf numFmtId="9" fontId="3" fillId="0" borderId="3" xfId="1" applyFont="1" applyBorder="1" applyAlignment="1">
      <alignment horizontal="center" vertical="center" wrapText="1"/>
    </xf>
    <xf numFmtId="0" fontId="2" fillId="8" borderId="0" xfId="0" applyFont="1" applyFill="1" applyAlignment="1">
      <alignment horizontal="center" vertical="center" wrapText="1"/>
    </xf>
    <xf numFmtId="0" fontId="9" fillId="0" borderId="2" xfId="0" applyFont="1" applyBorder="1" applyAlignment="1">
      <alignment horizontal="center" vertical="center"/>
    </xf>
    <xf numFmtId="0" fontId="2" fillId="14" borderId="0" xfId="0" applyFont="1" applyFill="1" applyAlignment="1">
      <alignment horizontal="center" vertical="center" wrapText="1"/>
    </xf>
    <xf numFmtId="0" fontId="3" fillId="4" borderId="2" xfId="0" applyFont="1" applyFill="1" applyBorder="1" applyAlignment="1">
      <alignment horizontal="center" vertical="center" wrapText="1"/>
    </xf>
    <xf numFmtId="0" fontId="3" fillId="0" borderId="0" xfId="0" applyFont="1" applyAlignment="1" applyProtection="1">
      <alignment horizontal="center" vertical="center"/>
      <protection locked="0"/>
    </xf>
    <xf numFmtId="0" fontId="3" fillId="0" borderId="0" xfId="0" applyFont="1" applyProtection="1">
      <protection locked="0"/>
    </xf>
    <xf numFmtId="0" fontId="3" fillId="0" borderId="0" xfId="0" applyFont="1" applyAlignment="1" applyProtection="1">
      <alignment horizontal="center" vertical="center" wrapText="1"/>
      <protection locked="0"/>
    </xf>
    <xf numFmtId="0" fontId="3" fillId="0" borderId="0" xfId="0" applyFont="1" applyAlignment="1" applyProtection="1">
      <alignment horizontal="center" vertical="top"/>
      <protection locked="0"/>
    </xf>
    <xf numFmtId="0" fontId="3" fillId="0" borderId="0" xfId="0" applyFont="1" applyAlignment="1" applyProtection="1">
      <alignment horizontal="center"/>
      <protection locked="0"/>
    </xf>
    <xf numFmtId="0" fontId="2" fillId="12" borderId="0" xfId="0" applyFont="1" applyFill="1" applyAlignment="1" applyProtection="1">
      <alignment horizontal="center" vertical="center" wrapText="1"/>
      <protection locked="0"/>
    </xf>
    <xf numFmtId="0" fontId="2" fillId="17" borderId="0" xfId="0" applyFont="1" applyFill="1" applyAlignment="1">
      <alignment horizontal="center" vertical="center" wrapText="1"/>
    </xf>
    <xf numFmtId="0" fontId="2" fillId="10" borderId="0" xfId="0" applyFont="1" applyFill="1" applyAlignment="1" applyProtection="1">
      <alignment horizontal="center" vertical="center" wrapText="1"/>
      <protection locked="0"/>
    </xf>
    <xf numFmtId="0" fontId="3" fillId="0" borderId="0" xfId="0" applyFont="1" applyAlignment="1" applyProtection="1">
      <alignment vertical="center"/>
      <protection locked="0"/>
    </xf>
    <xf numFmtId="0" fontId="3" fillId="0" borderId="0" xfId="0" applyFont="1" applyAlignment="1" applyProtection="1">
      <alignment horizontal="left" vertical="top" wrapText="1"/>
      <protection locked="0"/>
    </xf>
    <xf numFmtId="0" fontId="3" fillId="0" borderId="0" xfId="0" applyFont="1" applyAlignment="1">
      <alignment vertical="top" wrapText="1"/>
    </xf>
    <xf numFmtId="165" fontId="3" fillId="0" borderId="0" xfId="0" applyNumberFormat="1" applyFont="1"/>
    <xf numFmtId="0" fontId="14" fillId="3" borderId="6" xfId="0" applyFont="1" applyFill="1" applyBorder="1" applyAlignment="1">
      <alignment horizontal="center" vertical="center" wrapText="1" shrinkToFit="1"/>
    </xf>
    <xf numFmtId="165" fontId="14" fillId="3" borderId="6" xfId="0" applyNumberFormat="1" applyFont="1" applyFill="1" applyBorder="1" applyAlignment="1">
      <alignment horizontal="center" vertical="center" wrapText="1" shrinkToFit="1"/>
    </xf>
    <xf numFmtId="0" fontId="13" fillId="19" borderId="6" xfId="0" applyFont="1" applyFill="1" applyBorder="1" applyAlignment="1">
      <alignment horizontal="center" vertical="center" wrapText="1" readingOrder="1"/>
    </xf>
    <xf numFmtId="0" fontId="13" fillId="21" borderId="6" xfId="0" applyFont="1" applyFill="1" applyBorder="1" applyAlignment="1">
      <alignment horizontal="center" vertical="center" wrapText="1" readingOrder="1"/>
    </xf>
    <xf numFmtId="0" fontId="13" fillId="5" borderId="6" xfId="0" applyFont="1" applyFill="1" applyBorder="1" applyAlignment="1">
      <alignment horizontal="center" vertical="center" wrapText="1" readingOrder="1"/>
    </xf>
    <xf numFmtId="0" fontId="13" fillId="20" borderId="6" xfId="0" applyFont="1" applyFill="1" applyBorder="1" applyAlignment="1">
      <alignment horizontal="center" vertical="center" wrapText="1" readingOrder="1"/>
    </xf>
    <xf numFmtId="0" fontId="14" fillId="17" borderId="10" xfId="0" applyFont="1" applyFill="1" applyBorder="1" applyAlignment="1">
      <alignment horizontal="center" vertical="center" wrapText="1" shrinkToFit="1"/>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165" fontId="3" fillId="0" borderId="6" xfId="0" applyNumberFormat="1" applyFont="1" applyBorder="1" applyAlignment="1">
      <alignment horizontal="center" vertical="center" wrapText="1"/>
    </xf>
    <xf numFmtId="0" fontId="3" fillId="0" borderId="8" xfId="0" applyFont="1" applyBorder="1" applyAlignment="1">
      <alignment horizontal="center" vertical="center"/>
    </xf>
    <xf numFmtId="0" fontId="3" fillId="0" borderId="6" xfId="0" applyFont="1" applyBorder="1" applyAlignment="1">
      <alignment vertical="center" wrapText="1"/>
    </xf>
    <xf numFmtId="0" fontId="3" fillId="13" borderId="6" xfId="0" applyFont="1" applyFill="1" applyBorder="1" applyAlignment="1">
      <alignment horizontal="center" vertical="center"/>
    </xf>
    <xf numFmtId="0" fontId="5" fillId="13" borderId="6" xfId="0" applyFont="1" applyFill="1" applyBorder="1" applyAlignment="1">
      <alignment horizontal="center" vertical="center" wrapText="1"/>
    </xf>
    <xf numFmtId="0" fontId="3" fillId="13" borderId="6" xfId="0" applyFont="1" applyFill="1" applyBorder="1" applyAlignment="1">
      <alignment horizontal="center" vertical="center" wrapText="1"/>
    </xf>
    <xf numFmtId="165" fontId="3" fillId="13" borderId="6" xfId="0" applyNumberFormat="1" applyFont="1" applyFill="1" applyBorder="1" applyAlignment="1">
      <alignment horizontal="center" vertical="center" wrapText="1"/>
    </xf>
    <xf numFmtId="9" fontId="3" fillId="13" borderId="6" xfId="0" applyNumberFormat="1" applyFont="1" applyFill="1" applyBorder="1" applyAlignment="1">
      <alignment horizontal="center" vertical="center"/>
    </xf>
    <xf numFmtId="0" fontId="8" fillId="13" borderId="6" xfId="0" applyFont="1" applyFill="1" applyBorder="1" applyAlignment="1">
      <alignment vertical="top" wrapText="1"/>
    </xf>
    <xf numFmtId="0" fontId="5" fillId="0" borderId="6" xfId="0" applyFont="1" applyBorder="1" applyAlignment="1">
      <alignment horizontal="center" vertical="center" wrapText="1"/>
    </xf>
    <xf numFmtId="9" fontId="3" fillId="0" borderId="6" xfId="0" applyNumberFormat="1" applyFont="1" applyBorder="1" applyAlignment="1">
      <alignment horizontal="center" vertical="center"/>
    </xf>
    <xf numFmtId="0" fontId="3" fillId="13" borderId="8" xfId="0" applyFont="1" applyFill="1" applyBorder="1" applyAlignment="1">
      <alignment horizontal="center" vertical="center"/>
    </xf>
    <xf numFmtId="0" fontId="5" fillId="5" borderId="6" xfId="0" applyFont="1" applyFill="1" applyBorder="1" applyAlignment="1">
      <alignment horizontal="center" vertical="center" wrapText="1"/>
    </xf>
    <xf numFmtId="0" fontId="15" fillId="0" borderId="6" xfId="0" applyFont="1" applyBorder="1" applyAlignment="1">
      <alignment vertical="top" wrapText="1"/>
    </xf>
    <xf numFmtId="9" fontId="4" fillId="13" borderId="6" xfId="0" applyNumberFormat="1" applyFont="1" applyFill="1" applyBorder="1" applyAlignment="1">
      <alignment horizontal="center" vertical="center" wrapText="1" readingOrder="1"/>
    </xf>
    <xf numFmtId="9" fontId="12" fillId="13" borderId="6" xfId="0" quotePrefix="1" applyNumberFormat="1" applyFont="1" applyFill="1" applyBorder="1" applyAlignment="1">
      <alignment horizontal="center" vertical="center" wrapText="1" readingOrder="1"/>
    </xf>
    <xf numFmtId="0" fontId="8" fillId="0" borderId="6" xfId="0" applyFont="1" applyBorder="1" applyAlignment="1">
      <alignment vertical="top" wrapText="1"/>
    </xf>
    <xf numFmtId="9" fontId="8" fillId="0" borderId="6" xfId="0" applyNumberFormat="1" applyFont="1" applyBorder="1" applyAlignment="1">
      <alignment horizontal="center" vertical="center" wrapText="1" readingOrder="1"/>
    </xf>
    <xf numFmtId="166" fontId="3" fillId="0" borderId="2" xfId="0" applyNumberFormat="1" applyFont="1" applyBorder="1" applyAlignment="1" applyProtection="1">
      <alignment horizontal="center" vertical="center" wrapText="1"/>
      <protection locked="0"/>
    </xf>
    <xf numFmtId="14" fontId="3" fillId="0" borderId="2" xfId="0" applyNumberFormat="1"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14" fontId="3" fillId="0" borderId="2" xfId="0" applyNumberFormat="1" applyFont="1" applyBorder="1" applyAlignment="1" applyProtection="1">
      <alignment horizontal="center" vertical="center"/>
      <protection locked="0"/>
    </xf>
    <xf numFmtId="4" fontId="3" fillId="0" borderId="2" xfId="0" applyNumberFormat="1" applyFont="1" applyBorder="1" applyAlignment="1" applyProtection="1">
      <alignment horizontal="center" vertical="center" wrapText="1"/>
      <protection locked="0"/>
    </xf>
    <xf numFmtId="0" fontId="3" fillId="0" borderId="2" xfId="0" applyFont="1" applyBorder="1" applyAlignment="1" applyProtection="1">
      <alignment horizontal="center" vertical="center"/>
      <protection locked="0"/>
    </xf>
    <xf numFmtId="14" fontId="12" fillId="0" borderId="2" xfId="0" applyNumberFormat="1" applyFont="1" applyBorder="1" applyAlignment="1" applyProtection="1">
      <alignment horizontal="center" vertical="center"/>
      <protection locked="0"/>
    </xf>
    <xf numFmtId="9" fontId="3" fillId="0" borderId="2" xfId="1"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3" fillId="0" borderId="2" xfId="0" applyFont="1" applyBorder="1" applyAlignment="1" applyProtection="1">
      <alignment horizontal="center" vertical="top" wrapText="1"/>
      <protection locked="0"/>
    </xf>
    <xf numFmtId="14" fontId="3" fillId="0" borderId="2" xfId="0" applyNumberFormat="1" applyFont="1" applyBorder="1" applyAlignment="1">
      <alignment horizontal="center" vertical="center" wrapText="1"/>
    </xf>
    <xf numFmtId="0" fontId="12" fillId="0" borderId="2" xfId="0" applyFont="1" applyBorder="1" applyAlignment="1" applyProtection="1">
      <alignment horizontal="center" vertical="center" wrapText="1"/>
      <protection locked="0"/>
    </xf>
    <xf numFmtId="0" fontId="3" fillId="2" borderId="2" xfId="0" applyFont="1" applyFill="1" applyBorder="1" applyAlignment="1" applyProtection="1">
      <alignment horizontal="center" vertical="center" wrapText="1"/>
      <protection locked="0"/>
    </xf>
    <xf numFmtId="167" fontId="3" fillId="0" borderId="2" xfId="0" applyNumberFormat="1" applyFont="1" applyBorder="1" applyAlignment="1" applyProtection="1">
      <alignment horizontal="center" vertical="center" wrapText="1"/>
      <protection locked="0"/>
    </xf>
    <xf numFmtId="0" fontId="12" fillId="0" borderId="2" xfId="0" applyFont="1" applyBorder="1" applyAlignment="1">
      <alignment horizontal="center" vertical="center" wrapText="1"/>
    </xf>
    <xf numFmtId="0" fontId="12" fillId="2" borderId="2" xfId="0" applyFont="1" applyFill="1" applyBorder="1" applyAlignment="1" applyProtection="1">
      <alignment horizontal="center" vertical="center" wrapText="1"/>
      <protection locked="0"/>
    </xf>
    <xf numFmtId="0" fontId="4" fillId="0" borderId="2" xfId="0" applyFont="1" applyBorder="1" applyAlignment="1">
      <alignment horizontal="left" vertical="top" wrapText="1"/>
    </xf>
    <xf numFmtId="14" fontId="3" fillId="0" borderId="2" xfId="0" applyNumberFormat="1" applyFont="1" applyBorder="1" applyAlignment="1">
      <alignment horizontal="center" vertical="center"/>
    </xf>
    <xf numFmtId="14" fontId="4" fillId="0" borderId="2" xfId="0" applyNumberFormat="1" applyFont="1" applyBorder="1" applyAlignment="1">
      <alignment horizontal="center" vertical="center" wrapText="1"/>
    </xf>
    <xf numFmtId="0" fontId="4" fillId="0" borderId="2" xfId="0" applyFont="1" applyBorder="1" applyAlignment="1">
      <alignment horizontal="center" vertical="center" wrapText="1"/>
    </xf>
    <xf numFmtId="166" fontId="12" fillId="0" borderId="2" xfId="0" applyNumberFormat="1" applyFont="1" applyBorder="1" applyAlignment="1" applyProtection="1">
      <alignment horizontal="center" vertical="center" wrapText="1"/>
      <protection locked="0"/>
    </xf>
    <xf numFmtId="0" fontId="12" fillId="0" borderId="2" xfId="0" applyFont="1" applyBorder="1" applyAlignment="1">
      <alignment horizontal="left" vertical="top" wrapText="1"/>
    </xf>
    <xf numFmtId="167" fontId="3" fillId="11" borderId="2" xfId="0" applyNumberFormat="1" applyFont="1" applyFill="1" applyBorder="1" applyAlignment="1" applyProtection="1">
      <alignment horizontal="center" vertical="center" wrapText="1"/>
      <protection locked="0"/>
    </xf>
    <xf numFmtId="14" fontId="3" fillId="11" borderId="2" xfId="0" applyNumberFormat="1" applyFont="1" applyFill="1" applyBorder="1" applyAlignment="1" applyProtection="1">
      <alignment horizontal="center" vertical="center"/>
      <protection locked="0"/>
    </xf>
    <xf numFmtId="0" fontId="12" fillId="0" borderId="2" xfId="0" applyFont="1" applyBorder="1" applyAlignment="1">
      <alignment horizontal="center" vertical="center"/>
    </xf>
    <xf numFmtId="166" fontId="4" fillId="0" borderId="2" xfId="0" applyNumberFormat="1" applyFont="1"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166" fontId="4" fillId="0" borderId="2" xfId="0" applyNumberFormat="1" applyFont="1" applyBorder="1" applyAlignment="1" applyProtection="1">
      <alignment horizontal="center" vertical="center" wrapText="1" indent="2"/>
      <protection locked="0"/>
    </xf>
    <xf numFmtId="0" fontId="4" fillId="0" borderId="2" xfId="0" applyFont="1" applyBorder="1" applyAlignment="1">
      <alignment horizontal="center" vertical="center"/>
    </xf>
    <xf numFmtId="167" fontId="4" fillId="0" borderId="2" xfId="0" applyNumberFormat="1" applyFont="1" applyBorder="1" applyAlignment="1" applyProtection="1">
      <alignment horizontal="center" vertical="center" wrapText="1"/>
      <protection locked="0"/>
    </xf>
    <xf numFmtId="166" fontId="4" fillId="0" borderId="2" xfId="0" applyNumberFormat="1" applyFont="1" applyBorder="1" applyAlignment="1">
      <alignment horizontal="center" vertical="center" wrapText="1"/>
    </xf>
    <xf numFmtId="14" fontId="4" fillId="0" borderId="2" xfId="0" applyNumberFormat="1" applyFont="1" applyBorder="1" applyAlignment="1" applyProtection="1">
      <alignment horizontal="center" vertical="center" wrapText="1"/>
      <protection locked="0"/>
    </xf>
    <xf numFmtId="0" fontId="3" fillId="11" borderId="2" xfId="0" applyFont="1" applyFill="1" applyBorder="1" applyAlignment="1" applyProtection="1">
      <alignment horizontal="center" vertical="center" wrapText="1"/>
      <protection locked="0"/>
    </xf>
    <xf numFmtId="0" fontId="3" fillId="6" borderId="2" xfId="0" applyFont="1" applyFill="1" applyBorder="1" applyAlignment="1" applyProtection="1">
      <alignment horizontal="center" vertical="center" wrapText="1"/>
      <protection locked="0"/>
    </xf>
    <xf numFmtId="14" fontId="12" fillId="0" borderId="2" xfId="0" applyNumberFormat="1" applyFont="1" applyBorder="1" applyAlignment="1">
      <alignment horizontal="center" vertical="center"/>
    </xf>
    <xf numFmtId="14" fontId="3" fillId="6" borderId="2" xfId="0" applyNumberFormat="1" applyFont="1" applyFill="1" applyBorder="1" applyAlignment="1" applyProtection="1">
      <alignment horizontal="center" vertical="center" wrapText="1"/>
      <protection locked="0"/>
    </xf>
    <xf numFmtId="14" fontId="12" fillId="6" borderId="2" xfId="0" applyNumberFormat="1" applyFont="1" applyFill="1" applyBorder="1" applyAlignment="1" applyProtection="1">
      <alignment horizontal="center" vertical="center"/>
      <protection locked="0"/>
    </xf>
    <xf numFmtId="9" fontId="3" fillId="0" borderId="2" xfId="0" applyNumberFormat="1" applyFont="1" applyBorder="1" applyAlignment="1" applyProtection="1">
      <alignment horizontal="center" vertical="center" wrapText="1"/>
      <protection locked="0"/>
    </xf>
    <xf numFmtId="0" fontId="3" fillId="6" borderId="2" xfId="0" applyFont="1" applyFill="1" applyBorder="1" applyAlignment="1">
      <alignment horizontal="left" vertical="top" wrapText="1"/>
    </xf>
    <xf numFmtId="0" fontId="2" fillId="3" borderId="11" xfId="0" applyFont="1" applyFill="1" applyBorder="1" applyAlignment="1">
      <alignment horizontal="center" vertical="center" wrapText="1"/>
    </xf>
    <xf numFmtId="0" fontId="2" fillId="14" borderId="11" xfId="0" applyFont="1" applyFill="1" applyBorder="1" applyAlignment="1">
      <alignment horizontal="center" vertical="center" wrapText="1"/>
    </xf>
    <xf numFmtId="9" fontId="9" fillId="0" borderId="2" xfId="1" applyFont="1" applyFill="1" applyBorder="1" applyAlignment="1" applyProtection="1">
      <alignment horizontal="center" vertical="center"/>
      <protection locked="0"/>
    </xf>
    <xf numFmtId="0" fontId="9" fillId="0" borderId="2"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top"/>
      <protection locked="0"/>
    </xf>
    <xf numFmtId="0" fontId="17" fillId="0" borderId="0" xfId="0" applyFont="1" applyProtection="1">
      <protection locked="0"/>
    </xf>
    <xf numFmtId="0" fontId="18" fillId="4" borderId="0" xfId="0" applyFont="1" applyFill="1" applyAlignment="1" applyProtection="1">
      <alignment horizontal="center" vertical="center"/>
      <protection locked="0"/>
    </xf>
    <xf numFmtId="0" fontId="19" fillId="0" borderId="0" xfId="0" applyFont="1" applyAlignment="1" applyProtection="1">
      <alignment horizontal="center" vertical="center"/>
      <protection locked="0"/>
    </xf>
    <xf numFmtId="0" fontId="19" fillId="0" borderId="0" xfId="0" applyFont="1" applyProtection="1">
      <protection locked="0"/>
    </xf>
    <xf numFmtId="0" fontId="19" fillId="0" borderId="0" xfId="0" applyFont="1" applyAlignment="1" applyProtection="1">
      <alignment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Alignment="1" applyProtection="1">
      <alignment horizontal="center" vertical="top"/>
      <protection locked="0"/>
    </xf>
    <xf numFmtId="0" fontId="19" fillId="0" borderId="0" xfId="0" applyFont="1" applyAlignment="1" applyProtection="1">
      <alignment vertical="top"/>
      <protection locked="0"/>
    </xf>
    <xf numFmtId="0" fontId="3" fillId="0" borderId="0" xfId="0" applyFont="1" applyAlignment="1" applyProtection="1">
      <alignment vertical="top"/>
      <protection locked="0"/>
    </xf>
    <xf numFmtId="0" fontId="3" fillId="0" borderId="0" xfId="0" applyFont="1" applyAlignment="1">
      <alignment vertical="top"/>
    </xf>
    <xf numFmtId="0" fontId="5" fillId="0" borderId="0" xfId="0" applyFont="1" applyProtection="1">
      <protection locked="0"/>
    </xf>
    <xf numFmtId="9" fontId="3" fillId="0" borderId="2" xfId="1" applyFont="1" applyFill="1" applyBorder="1" applyAlignment="1" applyProtection="1">
      <alignment horizontal="center" vertical="center" wrapText="1"/>
      <protection locked="0"/>
    </xf>
    <xf numFmtId="0" fontId="20" fillId="0" borderId="0" xfId="0" applyFont="1" applyProtection="1">
      <protection locked="0"/>
    </xf>
    <xf numFmtId="0" fontId="2" fillId="3" borderId="11" xfId="0" applyFont="1" applyFill="1" applyBorder="1" applyAlignment="1" applyProtection="1">
      <alignment horizontal="center" vertical="center" wrapText="1"/>
      <protection locked="0"/>
    </xf>
    <xf numFmtId="0" fontId="3" fillId="9" borderId="0" xfId="0" applyFont="1" applyFill="1" applyAlignment="1">
      <alignment vertical="top"/>
    </xf>
    <xf numFmtId="0" fontId="2" fillId="8" borderId="0" xfId="0" applyFont="1" applyFill="1" applyAlignment="1" applyProtection="1">
      <alignment horizontal="center" vertical="center" wrapText="1"/>
      <protection locked="0"/>
    </xf>
    <xf numFmtId="0" fontId="2" fillId="3" borderId="0" xfId="0" applyFont="1" applyFill="1" applyAlignment="1" applyProtection="1">
      <alignment horizontal="center" vertical="center" wrapText="1"/>
      <protection locked="0"/>
    </xf>
    <xf numFmtId="0" fontId="2" fillId="14" borderId="0" xfId="0" applyFont="1" applyFill="1" applyAlignment="1" applyProtection="1">
      <alignment horizontal="center" vertical="center" wrapText="1"/>
      <protection locked="0"/>
    </xf>
    <xf numFmtId="165" fontId="9" fillId="0" borderId="2" xfId="0" applyNumberFormat="1" applyFont="1" applyBorder="1" applyAlignment="1">
      <alignment horizontal="center" vertical="center" wrapText="1"/>
    </xf>
    <xf numFmtId="0" fontId="6" fillId="0" borderId="2" xfId="0" applyFont="1" applyBorder="1" applyAlignment="1" applyProtection="1">
      <alignment vertical="top" wrapText="1"/>
      <protection locked="0"/>
    </xf>
    <xf numFmtId="0" fontId="6" fillId="0" borderId="2" xfId="0" applyFont="1" applyBorder="1" applyAlignment="1" applyProtection="1">
      <alignment horizontal="left" vertical="top" wrapText="1"/>
      <protection locked="0"/>
    </xf>
    <xf numFmtId="0" fontId="6" fillId="2" borderId="2" xfId="0" applyFont="1" applyFill="1" applyBorder="1" applyAlignment="1" applyProtection="1">
      <alignment vertical="top" wrapText="1"/>
      <protection locked="0"/>
    </xf>
    <xf numFmtId="0" fontId="6" fillId="2" borderId="2" xfId="0" applyFont="1" applyFill="1" applyBorder="1" applyAlignment="1" applyProtection="1">
      <alignment horizontal="left" vertical="top" wrapText="1"/>
      <protection locked="0"/>
    </xf>
    <xf numFmtId="16" fontId="6" fillId="0" borderId="2" xfId="0" applyNumberFormat="1" applyFont="1" applyBorder="1" applyAlignment="1" applyProtection="1">
      <alignment horizontal="left" vertical="top" wrapText="1"/>
      <protection locked="0"/>
    </xf>
    <xf numFmtId="14" fontId="6" fillId="0" borderId="2" xfId="0" applyNumberFormat="1" applyFont="1" applyBorder="1" applyAlignment="1" applyProtection="1">
      <alignment horizontal="left" vertical="center" wrapText="1"/>
      <protection locked="0"/>
    </xf>
    <xf numFmtId="0" fontId="4" fillId="0" borderId="2" xfId="0" applyFont="1" applyBorder="1" applyAlignment="1" applyProtection="1">
      <alignment horizontal="left" vertical="top" wrapText="1"/>
      <protection locked="0"/>
    </xf>
    <xf numFmtId="166" fontId="12" fillId="0" borderId="2" xfId="0" applyNumberFormat="1" applyFont="1" applyBorder="1" applyAlignment="1">
      <alignment horizontal="center" vertical="center" wrapText="1"/>
    </xf>
    <xf numFmtId="167" fontId="12" fillId="0" borderId="2" xfId="0" applyNumberFormat="1" applyFont="1" applyBorder="1" applyAlignment="1" applyProtection="1">
      <alignment horizontal="center" vertical="center" wrapText="1"/>
      <protection locked="0"/>
    </xf>
    <xf numFmtId="14" fontId="12" fillId="0" borderId="2" xfId="0" applyNumberFormat="1" applyFont="1" applyBorder="1" applyAlignment="1">
      <alignment horizontal="center" vertical="center" wrapText="1"/>
    </xf>
    <xf numFmtId="14" fontId="12" fillId="0" borderId="2" xfId="0" applyNumberFormat="1" applyFont="1" applyBorder="1" applyAlignment="1" applyProtection="1">
      <alignment horizontal="center" vertical="center" wrapText="1"/>
      <protection locked="0"/>
    </xf>
    <xf numFmtId="9" fontId="12" fillId="0" borderId="2" xfId="1" applyFont="1" applyFill="1" applyBorder="1" applyAlignment="1" applyProtection="1">
      <alignment horizontal="center" vertical="center" wrapText="1"/>
      <protection locked="0"/>
    </xf>
    <xf numFmtId="9" fontId="12" fillId="0" borderId="2" xfId="1" applyFont="1" applyFill="1" applyBorder="1" applyAlignment="1" applyProtection="1">
      <alignment horizontal="center" vertical="center"/>
      <protection locked="0"/>
    </xf>
    <xf numFmtId="4" fontId="12" fillId="0" borderId="2" xfId="0" applyNumberFormat="1" applyFont="1" applyBorder="1" applyAlignment="1" applyProtection="1">
      <alignment horizontal="center" vertical="center" wrapText="1"/>
      <protection locked="0"/>
    </xf>
    <xf numFmtId="0" fontId="3" fillId="0" borderId="3" xfId="0" applyFont="1" applyBorder="1" applyAlignment="1">
      <alignment horizontal="left" vertical="top" wrapText="1"/>
    </xf>
    <xf numFmtId="14" fontId="6" fillId="0" borderId="2" xfId="0" applyNumberFormat="1" applyFont="1" applyBorder="1" applyAlignment="1" applyProtection="1">
      <alignment horizontal="center" vertical="center"/>
      <protection locked="0"/>
    </xf>
    <xf numFmtId="14" fontId="6" fillId="11" borderId="2" xfId="0" applyNumberFormat="1" applyFont="1" applyFill="1" applyBorder="1" applyAlignment="1" applyProtection="1">
      <alignment horizontal="center" vertical="center"/>
      <protection locked="0"/>
    </xf>
    <xf numFmtId="0" fontId="3" fillId="0" borderId="0" xfId="0" applyFont="1" applyAlignment="1" applyProtection="1">
      <alignment horizontal="center" wrapText="1"/>
      <protection locked="0"/>
    </xf>
    <xf numFmtId="165" fontId="0" fillId="0" borderId="0" xfId="0" applyNumberFormat="1" applyAlignment="1">
      <alignment horizontal="center" vertical="center" wrapText="1"/>
    </xf>
    <xf numFmtId="9" fontId="3" fillId="0" borderId="2" xfId="1" applyFont="1" applyFill="1" applyBorder="1" applyAlignment="1" applyProtection="1">
      <alignment horizontal="center" vertical="center"/>
      <protection locked="0"/>
    </xf>
    <xf numFmtId="9" fontId="3" fillId="0" borderId="2" xfId="1" applyFont="1" applyBorder="1" applyAlignment="1" applyProtection="1">
      <alignment horizontal="center" vertical="center"/>
      <protection locked="0"/>
    </xf>
    <xf numFmtId="0" fontId="5" fillId="22" borderId="0" xfId="0" applyFont="1" applyFill="1" applyAlignment="1">
      <alignment horizontal="center" vertical="center" wrapText="1"/>
    </xf>
    <xf numFmtId="0" fontId="3" fillId="23" borderId="2" xfId="0" applyFont="1" applyFill="1" applyBorder="1" applyAlignment="1">
      <alignment horizontal="center" vertical="center" wrapText="1"/>
    </xf>
    <xf numFmtId="0" fontId="7" fillId="7" borderId="2" xfId="0" applyFont="1" applyFill="1" applyBorder="1" applyAlignment="1">
      <alignment horizontal="left" vertical="top" wrapText="1"/>
    </xf>
    <xf numFmtId="0" fontId="6" fillId="7" borderId="2" xfId="0" applyFont="1" applyFill="1" applyBorder="1" applyAlignment="1">
      <alignment horizontal="left" vertical="top" wrapText="1"/>
    </xf>
    <xf numFmtId="14" fontId="19" fillId="0" borderId="0" xfId="0" applyNumberFormat="1" applyFont="1" applyAlignment="1" applyProtection="1">
      <alignment vertical="top"/>
      <protection locked="0"/>
    </xf>
    <xf numFmtId="9" fontId="9" fillId="0" borderId="2" xfId="1" applyFont="1" applyBorder="1" applyAlignment="1" applyProtection="1">
      <alignment horizontal="center" vertical="center"/>
      <protection locked="0"/>
    </xf>
    <xf numFmtId="17" fontId="21" fillId="2" borderId="1" xfId="0" applyNumberFormat="1" applyFont="1" applyFill="1" applyBorder="1" applyAlignment="1">
      <alignment horizontal="center" vertical="center" wrapText="1"/>
    </xf>
    <xf numFmtId="17" fontId="21" fillId="2" borderId="14" xfId="0" applyNumberFormat="1" applyFont="1" applyFill="1" applyBorder="1" applyAlignment="1">
      <alignment horizontal="center" vertical="center" wrapText="1"/>
    </xf>
    <xf numFmtId="17" fontId="21" fillId="2" borderId="15" xfId="0" applyNumberFormat="1" applyFont="1" applyFill="1" applyBorder="1" applyAlignment="1">
      <alignment horizontal="center" vertical="center" wrapText="1"/>
    </xf>
    <xf numFmtId="4" fontId="6" fillId="11" borderId="2" xfId="0" applyNumberFormat="1" applyFont="1" applyFill="1" applyBorder="1" applyAlignment="1" applyProtection="1">
      <alignment vertical="top" wrapText="1"/>
      <protection locked="0"/>
    </xf>
    <xf numFmtId="4" fontId="6" fillId="11" borderId="3" xfId="0" applyNumberFormat="1" applyFont="1" applyFill="1" applyBorder="1" applyAlignment="1" applyProtection="1">
      <alignment horizontal="left" vertical="top" wrapText="1"/>
      <protection locked="0"/>
    </xf>
    <xf numFmtId="0" fontId="6" fillId="0" borderId="3" xfId="0" applyFont="1" applyBorder="1" applyAlignment="1" applyProtection="1">
      <alignment horizontal="left" vertical="top" wrapText="1"/>
      <protection locked="0"/>
    </xf>
    <xf numFmtId="0" fontId="6" fillId="0" borderId="12" xfId="0" applyFont="1" applyBorder="1" applyAlignment="1">
      <alignment horizontal="left" vertical="top" wrapText="1"/>
    </xf>
    <xf numFmtId="4" fontId="6" fillId="0" borderId="2" xfId="0" applyNumberFormat="1" applyFont="1" applyBorder="1" applyAlignment="1" applyProtection="1">
      <alignment horizontal="left" vertical="top" wrapText="1"/>
      <protection locked="0"/>
    </xf>
    <xf numFmtId="0" fontId="3" fillId="0" borderId="16" xfId="0" applyFont="1" applyBorder="1" applyAlignment="1">
      <alignment horizontal="center" vertical="center" wrapText="1"/>
    </xf>
    <xf numFmtId="0" fontId="3" fillId="0" borderId="17" xfId="0" applyFont="1" applyBorder="1" applyAlignment="1" applyProtection="1">
      <alignment horizontal="center" vertical="center" wrapText="1"/>
      <protection locked="0"/>
    </xf>
    <xf numFmtId="0" fontId="3" fillId="0" borderId="17" xfId="0" applyFont="1" applyBorder="1" applyAlignment="1">
      <alignment horizontal="center" vertical="center" wrapText="1"/>
    </xf>
    <xf numFmtId="0" fontId="3" fillId="0" borderId="17" xfId="0" applyFont="1" applyBorder="1" applyAlignment="1">
      <alignment horizontal="left" vertical="top" wrapText="1"/>
    </xf>
    <xf numFmtId="166" fontId="3" fillId="0" borderId="17" xfId="0" applyNumberFormat="1" applyFont="1" applyBorder="1" applyAlignment="1">
      <alignment horizontal="center" vertical="center" wrapText="1"/>
    </xf>
    <xf numFmtId="166" fontId="3" fillId="0" borderId="17" xfId="0" applyNumberFormat="1" applyFont="1" applyBorder="1" applyAlignment="1" applyProtection="1">
      <alignment horizontal="center" vertical="center" wrapText="1"/>
      <protection locked="0"/>
    </xf>
    <xf numFmtId="167" fontId="3" fillId="0" borderId="17"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17" xfId="0" applyFont="1" applyBorder="1" applyAlignment="1" applyProtection="1">
      <alignment horizontal="center" vertical="center"/>
      <protection locked="0"/>
    </xf>
    <xf numFmtId="14" fontId="3" fillId="0" borderId="17" xfId="0" applyNumberFormat="1" applyFont="1" applyBorder="1" applyAlignment="1" applyProtection="1">
      <alignment horizontal="center" vertical="center" wrapText="1"/>
      <protection locked="0"/>
    </xf>
    <xf numFmtId="9" fontId="3" fillId="0" borderId="17" xfId="0" applyNumberFormat="1" applyFont="1" applyBorder="1" applyAlignment="1" applyProtection="1">
      <alignment horizontal="center" vertical="center" wrapText="1"/>
      <protection locked="0"/>
    </xf>
    <xf numFmtId="9" fontId="3" fillId="0" borderId="17" xfId="0" applyNumberFormat="1" applyFont="1" applyBorder="1" applyAlignment="1" applyProtection="1">
      <alignment horizontal="center" vertical="center"/>
      <protection locked="0"/>
    </xf>
    <xf numFmtId="9" fontId="3" fillId="0" borderId="3" xfId="0" applyNumberFormat="1" applyFont="1" applyBorder="1" applyAlignment="1" applyProtection="1">
      <alignment horizontal="center" vertical="center"/>
      <protection locked="0"/>
    </xf>
    <xf numFmtId="0" fontId="9" fillId="0" borderId="3" xfId="0" applyFont="1" applyBorder="1" applyAlignment="1" applyProtection="1">
      <alignment horizontal="center" vertical="center"/>
      <protection locked="0"/>
    </xf>
    <xf numFmtId="0" fontId="6" fillId="0" borderId="18" xfId="0" applyFont="1" applyBorder="1" applyAlignment="1" applyProtection="1">
      <alignment horizontal="left" vertical="top" wrapText="1"/>
      <protection locked="0"/>
    </xf>
    <xf numFmtId="0" fontId="9" fillId="11" borderId="3" xfId="0" applyFont="1" applyFill="1" applyBorder="1" applyAlignment="1" applyProtection="1">
      <alignment horizontal="center" vertical="center"/>
      <protection locked="0"/>
    </xf>
    <xf numFmtId="14" fontId="3" fillId="11" borderId="17" xfId="0" applyNumberFormat="1" applyFont="1" applyFill="1" applyBorder="1" applyAlignment="1" applyProtection="1">
      <alignment horizontal="center" vertical="center"/>
      <protection locked="0"/>
    </xf>
    <xf numFmtId="14" fontId="12" fillId="11" borderId="17" xfId="0" applyNumberFormat="1" applyFont="1" applyFill="1" applyBorder="1" applyAlignment="1" applyProtection="1">
      <alignment horizontal="center" vertical="center"/>
      <protection locked="0"/>
    </xf>
    <xf numFmtId="9" fontId="9" fillId="11" borderId="2" xfId="1" applyFont="1" applyFill="1" applyBorder="1" applyAlignment="1" applyProtection="1">
      <alignment horizontal="center" vertical="center"/>
      <protection locked="0"/>
    </xf>
    <xf numFmtId="4" fontId="10" fillId="15" borderId="5" xfId="0" applyNumberFormat="1" applyFont="1" applyFill="1" applyBorder="1" applyAlignment="1">
      <alignment horizontal="center" vertical="center" wrapText="1"/>
    </xf>
    <xf numFmtId="0" fontId="2" fillId="18" borderId="0" xfId="0" applyFont="1" applyFill="1" applyAlignment="1" applyProtection="1">
      <alignment horizontal="center" vertical="center" wrapText="1"/>
      <protection locked="0"/>
    </xf>
    <xf numFmtId="0" fontId="23" fillId="0" borderId="2" xfId="0" applyFont="1" applyBorder="1" applyAlignment="1">
      <alignment horizontal="center" vertical="center" wrapText="1"/>
    </xf>
    <xf numFmtId="0" fontId="24" fillId="0" borderId="2" xfId="0" applyFont="1" applyBorder="1" applyAlignment="1">
      <alignment horizontal="center" vertical="center" wrapText="1"/>
    </xf>
    <xf numFmtId="0" fontId="5" fillId="0" borderId="2"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0" fillId="0" borderId="0" xfId="0" applyAlignment="1">
      <alignment horizontal="left" vertical="center" wrapText="1"/>
    </xf>
    <xf numFmtId="0" fontId="19" fillId="4" borderId="0" xfId="0" applyFont="1" applyFill="1" applyAlignment="1" applyProtection="1">
      <alignment horizontal="center" vertical="center"/>
      <protection locked="0"/>
    </xf>
    <xf numFmtId="9" fontId="9" fillId="0" borderId="2" xfId="0" applyNumberFormat="1" applyFont="1" applyBorder="1" applyAlignment="1">
      <alignment horizontal="center" vertical="center" wrapText="1"/>
    </xf>
    <xf numFmtId="0" fontId="3" fillId="13" borderId="6" xfId="0" applyFont="1" applyFill="1" applyBorder="1" applyAlignment="1">
      <alignment horizontal="left" vertical="top" wrapText="1"/>
    </xf>
    <xf numFmtId="0" fontId="3" fillId="0" borderId="6" xfId="0" applyFont="1" applyBorder="1" applyAlignment="1">
      <alignment horizontal="left" vertical="top" wrapText="1"/>
    </xf>
    <xf numFmtId="0" fontId="3" fillId="6" borderId="6" xfId="0" applyFont="1" applyFill="1" applyBorder="1" applyAlignment="1">
      <alignment horizontal="left" vertical="top" wrapText="1"/>
    </xf>
    <xf numFmtId="0" fontId="2" fillId="10" borderId="6" xfId="0" applyFont="1" applyFill="1" applyBorder="1" applyAlignment="1">
      <alignment horizontal="center" vertical="center" wrapText="1"/>
    </xf>
    <xf numFmtId="0" fontId="25" fillId="5" borderId="6" xfId="0" applyFont="1" applyFill="1" applyBorder="1" applyAlignment="1">
      <alignment horizontal="center" vertical="center" wrapText="1"/>
    </xf>
    <xf numFmtId="0" fontId="3" fillId="13" borderId="6" xfId="0" applyFont="1" applyFill="1" applyBorder="1" applyAlignment="1">
      <alignment vertical="center" wrapText="1"/>
    </xf>
    <xf numFmtId="0" fontId="8" fillId="13" borderId="6" xfId="0" applyFont="1" applyFill="1" applyBorder="1" applyAlignment="1">
      <alignment horizontal="center" vertical="center" wrapText="1" readingOrder="1"/>
    </xf>
    <xf numFmtId="9" fontId="8" fillId="13" borderId="6" xfId="0" applyNumberFormat="1" applyFont="1" applyFill="1" applyBorder="1" applyAlignment="1">
      <alignment horizontal="center" vertical="center" wrapText="1" readingOrder="1"/>
    </xf>
    <xf numFmtId="0" fontId="8" fillId="13" borderId="6" xfId="0" quotePrefix="1" applyFont="1" applyFill="1" applyBorder="1" applyAlignment="1">
      <alignment horizontal="center" vertical="center" wrapText="1" readingOrder="1"/>
    </xf>
    <xf numFmtId="0" fontId="8" fillId="13" borderId="8" xfId="0" quotePrefix="1" applyFont="1" applyFill="1" applyBorder="1" applyAlignment="1">
      <alignment horizontal="center" vertical="center" wrapText="1" readingOrder="1"/>
    </xf>
    <xf numFmtId="0" fontId="15" fillId="13" borderId="6" xfId="0" applyFont="1" applyFill="1" applyBorder="1" applyAlignment="1">
      <alignment vertical="center" wrapText="1"/>
    </xf>
    <xf numFmtId="0" fontId="5" fillId="6" borderId="6" xfId="0" applyFont="1" applyFill="1" applyBorder="1" applyAlignment="1">
      <alignment horizontal="center" vertical="center" wrapText="1"/>
    </xf>
    <xf numFmtId="0" fontId="28" fillId="25" borderId="20" xfId="0" applyFont="1" applyFill="1" applyBorder="1"/>
    <xf numFmtId="0" fontId="28" fillId="25" borderId="20" xfId="0" applyFont="1" applyFill="1" applyBorder="1" applyAlignment="1">
      <alignment horizontal="center"/>
    </xf>
    <xf numFmtId="0" fontId="27" fillId="24" borderId="6" xfId="0" applyFont="1" applyFill="1" applyBorder="1" applyAlignment="1">
      <alignment horizontal="center"/>
    </xf>
    <xf numFmtId="0" fontId="27" fillId="0" borderId="6" xfId="0" applyFont="1" applyBorder="1" applyAlignment="1">
      <alignment horizontal="center"/>
    </xf>
    <xf numFmtId="0" fontId="28" fillId="25" borderId="20" xfId="0" applyFont="1" applyFill="1" applyBorder="1" applyAlignment="1">
      <alignment horizontal="center" wrapText="1"/>
    </xf>
    <xf numFmtId="17" fontId="27" fillId="24" borderId="6" xfId="0" applyNumberFormat="1" applyFont="1" applyFill="1" applyBorder="1" applyAlignment="1">
      <alignment horizontal="center"/>
    </xf>
    <xf numFmtId="17" fontId="27" fillId="0" borderId="6" xfId="0" applyNumberFormat="1" applyFont="1" applyBorder="1" applyAlignment="1">
      <alignment horizontal="center"/>
    </xf>
    <xf numFmtId="0" fontId="28" fillId="25" borderId="20" xfId="0" applyFont="1" applyFill="1" applyBorder="1" applyAlignment="1">
      <alignment horizontal="center" vertical="center" wrapText="1"/>
    </xf>
    <xf numFmtId="0" fontId="0" fillId="0" borderId="0" xfId="0" applyAlignment="1">
      <alignment horizontal="center" vertical="center" wrapText="1"/>
    </xf>
    <xf numFmtId="0" fontId="28" fillId="25" borderId="20" xfId="0" applyFont="1" applyFill="1" applyBorder="1" applyAlignment="1">
      <alignment horizontal="center" vertical="center"/>
    </xf>
    <xf numFmtId="0" fontId="28" fillId="25" borderId="21" xfId="0" applyFont="1" applyFill="1" applyBorder="1" applyAlignment="1">
      <alignment horizontal="center" vertical="center" wrapText="1"/>
    </xf>
    <xf numFmtId="0" fontId="27" fillId="0" borderId="6" xfId="0" applyFont="1" applyBorder="1" applyAlignment="1">
      <alignment horizontal="center" vertical="center"/>
    </xf>
    <xf numFmtId="14" fontId="27" fillId="0" borderId="6" xfId="0" applyNumberFormat="1" applyFont="1" applyBorder="1" applyAlignment="1">
      <alignment horizontal="center" vertical="center"/>
    </xf>
    <xf numFmtId="0" fontId="27" fillId="0" borderId="6" xfId="0" applyFont="1" applyBorder="1"/>
    <xf numFmtId="0" fontId="27" fillId="0" borderId="8" xfId="0" applyFont="1" applyBorder="1" applyAlignment="1">
      <alignment horizontal="left" vertical="center" wrapText="1"/>
    </xf>
    <xf numFmtId="0" fontId="27" fillId="0" borderId="8" xfId="0" applyFont="1" applyBorder="1" applyAlignment="1">
      <alignment horizontal="center" vertical="center" wrapText="1"/>
    </xf>
    <xf numFmtId="0" fontId="6" fillId="11" borderId="2" xfId="0" applyFont="1" applyFill="1" applyBorder="1" applyAlignment="1">
      <alignment horizontal="left" vertical="top" wrapText="1"/>
    </xf>
    <xf numFmtId="0" fontId="6" fillId="11" borderId="3" xfId="0" applyFont="1" applyFill="1" applyBorder="1" applyAlignment="1">
      <alignment horizontal="left" vertical="top" wrapText="1"/>
    </xf>
    <xf numFmtId="17" fontId="29" fillId="2" borderId="1" xfId="0" applyNumberFormat="1" applyFont="1" applyFill="1" applyBorder="1" applyAlignment="1">
      <alignment horizontal="center" vertical="center" wrapText="1"/>
    </xf>
    <xf numFmtId="17" fontId="30" fillId="2" borderId="1" xfId="0" applyNumberFormat="1"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0" borderId="17" xfId="0" applyFont="1" applyBorder="1" applyAlignment="1" applyProtection="1">
      <alignment horizontal="center" vertical="top" wrapText="1"/>
      <protection locked="0"/>
    </xf>
    <xf numFmtId="166" fontId="3" fillId="11" borderId="17" xfId="0" applyNumberFormat="1" applyFont="1" applyFill="1" applyBorder="1" applyAlignment="1" applyProtection="1">
      <alignment horizontal="center" vertical="center" wrapText="1"/>
      <protection locked="0"/>
    </xf>
    <xf numFmtId="166" fontId="3" fillId="11" borderId="17" xfId="0" applyNumberFormat="1" applyFont="1" applyFill="1" applyBorder="1" applyAlignment="1">
      <alignment horizontal="center" vertical="center" wrapText="1"/>
    </xf>
    <xf numFmtId="14" fontId="3" fillId="0" borderId="17" xfId="0" applyNumberFormat="1" applyFont="1" applyBorder="1" applyAlignment="1" applyProtection="1">
      <alignment horizontal="center" vertical="center"/>
      <protection locked="0"/>
    </xf>
    <xf numFmtId="14" fontId="12" fillId="0" borderId="17" xfId="0" applyNumberFormat="1" applyFont="1" applyBorder="1" applyAlignment="1" applyProtection="1">
      <alignment horizontal="center" vertical="center"/>
      <protection locked="0"/>
    </xf>
    <xf numFmtId="0" fontId="31" fillId="0" borderId="7" xfId="0" applyFont="1" applyBorder="1" applyAlignment="1">
      <alignment horizontal="left" vertical="top" wrapText="1"/>
    </xf>
    <xf numFmtId="0" fontId="4" fillId="0" borderId="3" xfId="0" applyFont="1" applyBorder="1" applyAlignment="1" applyProtection="1">
      <alignment horizontal="center" vertical="center"/>
      <protection locked="0"/>
    </xf>
    <xf numFmtId="0" fontId="4" fillId="0" borderId="17" xfId="0" applyFont="1" applyBorder="1" applyAlignment="1" applyProtection="1">
      <alignment horizontal="center" vertical="center" wrapText="1"/>
      <protection locked="0"/>
    </xf>
    <xf numFmtId="4" fontId="4" fillId="0" borderId="17" xfId="0" applyNumberFormat="1" applyFont="1" applyBorder="1" applyAlignment="1" applyProtection="1">
      <alignment horizontal="center" vertical="center" wrapText="1"/>
      <protection locked="0"/>
    </xf>
    <xf numFmtId="0" fontId="3" fillId="11" borderId="0" xfId="0" applyFont="1" applyFill="1" applyAlignment="1" applyProtection="1">
      <alignment vertical="top"/>
      <protection locked="0"/>
    </xf>
    <xf numFmtId="167" fontId="3" fillId="11" borderId="17" xfId="0" applyNumberFormat="1" applyFont="1" applyFill="1" applyBorder="1" applyAlignment="1" applyProtection="1">
      <alignment horizontal="center" vertical="center" wrapText="1"/>
      <protection locked="0"/>
    </xf>
    <xf numFmtId="0" fontId="3" fillId="11" borderId="17" xfId="0" applyFont="1" applyFill="1" applyBorder="1" applyAlignment="1" applyProtection="1">
      <alignment horizontal="center" vertical="center" wrapText="1"/>
      <protection locked="0"/>
    </xf>
    <xf numFmtId="0" fontId="3" fillId="10" borderId="2" xfId="0" applyFont="1" applyFill="1" applyBorder="1" applyAlignment="1" applyProtection="1">
      <alignment horizontal="center" vertical="center" wrapText="1"/>
      <protection locked="0"/>
    </xf>
    <xf numFmtId="0" fontId="9" fillId="0" borderId="17" xfId="0" applyFont="1" applyBorder="1" applyAlignment="1" applyProtection="1">
      <alignment horizontal="center" vertical="center" wrapText="1"/>
      <protection locked="0"/>
    </xf>
    <xf numFmtId="4" fontId="9" fillId="0" borderId="17" xfId="0" applyNumberFormat="1" applyFont="1" applyBorder="1" applyAlignment="1" applyProtection="1">
      <alignment horizontal="center" vertical="center" wrapText="1"/>
      <protection locked="0"/>
    </xf>
    <xf numFmtId="0" fontId="3" fillId="9" borderId="3" xfId="0" applyFont="1" applyFill="1" applyBorder="1" applyAlignment="1">
      <alignment horizontal="center" vertical="center" wrapText="1"/>
    </xf>
    <xf numFmtId="0" fontId="3" fillId="11" borderId="2" xfId="0" applyFont="1" applyFill="1" applyBorder="1" applyAlignment="1">
      <alignment horizontal="left" vertical="top" wrapText="1"/>
    </xf>
    <xf numFmtId="0" fontId="6" fillId="15" borderId="2" xfId="0" applyFont="1" applyFill="1" applyBorder="1" applyAlignment="1">
      <alignment horizontal="left" vertical="top" wrapText="1"/>
    </xf>
    <xf numFmtId="0" fontId="28" fillId="25" borderId="19" xfId="0" applyFont="1" applyFill="1" applyBorder="1" applyAlignment="1">
      <alignment horizontal="left" vertical="center"/>
    </xf>
    <xf numFmtId="0" fontId="27" fillId="28" borderId="9" xfId="0" applyFont="1" applyFill="1" applyBorder="1" applyAlignment="1">
      <alignment horizontal="left" vertical="center"/>
    </xf>
    <xf numFmtId="0" fontId="27" fillId="29" borderId="9" xfId="0" applyFont="1" applyFill="1" applyBorder="1" applyAlignment="1">
      <alignment horizontal="left" vertical="center"/>
    </xf>
    <xf numFmtId="0" fontId="27" fillId="23" borderId="9" xfId="0" applyFont="1" applyFill="1" applyBorder="1" applyAlignment="1">
      <alignment horizontal="left" vertical="center"/>
    </xf>
    <xf numFmtId="0" fontId="27" fillId="27" borderId="9" xfId="0" applyFont="1" applyFill="1" applyBorder="1" applyAlignment="1">
      <alignment horizontal="left" vertical="center"/>
    </xf>
    <xf numFmtId="0" fontId="27" fillId="26" borderId="9" xfId="0" applyFont="1" applyFill="1" applyBorder="1" applyAlignment="1">
      <alignment horizontal="left" vertical="center"/>
    </xf>
    <xf numFmtId="0" fontId="0" fillId="0" borderId="0" xfId="0" applyAlignment="1">
      <alignment horizontal="left" vertical="center"/>
    </xf>
    <xf numFmtId="0" fontId="27" fillId="0" borderId="6" xfId="0" applyFont="1" applyBorder="1" applyAlignment="1">
      <alignment vertical="top" wrapText="1"/>
    </xf>
    <xf numFmtId="0" fontId="0" fillId="0" borderId="0" xfId="0" applyAlignment="1">
      <alignment vertical="top" wrapText="1"/>
    </xf>
    <xf numFmtId="0" fontId="27" fillId="6" borderId="6" xfId="0" applyFont="1" applyFill="1" applyBorder="1" applyAlignment="1">
      <alignment horizontal="center" vertical="center"/>
    </xf>
    <xf numFmtId="17" fontId="29" fillId="2" borderId="13" xfId="0" applyNumberFormat="1" applyFont="1" applyFill="1" applyBorder="1" applyAlignment="1">
      <alignment horizontal="center" vertical="center" wrapText="1"/>
    </xf>
    <xf numFmtId="0" fontId="4" fillId="0" borderId="17" xfId="0" applyFont="1" applyBorder="1" applyAlignment="1">
      <alignment horizontal="left" vertical="top" wrapText="1"/>
    </xf>
    <xf numFmtId="0" fontId="4" fillId="0" borderId="17" xfId="0" applyFont="1" applyBorder="1" applyAlignment="1">
      <alignment horizontal="center" vertical="center" wrapText="1"/>
    </xf>
    <xf numFmtId="166" fontId="4" fillId="0" borderId="17" xfId="0" applyNumberFormat="1" applyFont="1" applyBorder="1" applyAlignment="1" applyProtection="1">
      <alignment horizontal="center" vertical="center" wrapText="1"/>
      <protection locked="0"/>
    </xf>
    <xf numFmtId="14" fontId="4" fillId="0" borderId="17" xfId="0" applyNumberFormat="1" applyFont="1" applyBorder="1" applyAlignment="1" applyProtection="1">
      <alignment horizontal="center" vertical="center" wrapText="1"/>
      <protection locked="0"/>
    </xf>
    <xf numFmtId="0" fontId="22" fillId="30" borderId="17" xfId="0" applyFont="1" applyFill="1" applyBorder="1" applyAlignment="1" applyProtection="1">
      <alignment horizontal="center" vertical="center" wrapText="1"/>
      <protection locked="0"/>
    </xf>
    <xf numFmtId="0" fontId="12" fillId="0" borderId="2" xfId="0" applyFont="1" applyBorder="1" applyAlignment="1" applyProtection="1">
      <alignment horizontal="center" vertical="center"/>
      <protection locked="0"/>
    </xf>
    <xf numFmtId="0" fontId="9" fillId="0" borderId="2" xfId="0" applyFont="1" applyBorder="1" applyAlignment="1" applyProtection="1">
      <alignment horizontal="center" vertical="center" wrapText="1"/>
      <protection locked="0"/>
    </xf>
    <xf numFmtId="4" fontId="9" fillId="0" borderId="2" xfId="0" applyNumberFormat="1" applyFont="1" applyBorder="1" applyAlignment="1" applyProtection="1">
      <alignment horizontal="center" vertical="center" wrapText="1"/>
      <protection locked="0"/>
    </xf>
    <xf numFmtId="0" fontId="3" fillId="0" borderId="22" xfId="0" applyFont="1" applyBorder="1" applyAlignment="1" applyProtection="1">
      <alignment horizontal="center" vertical="center" wrapText="1"/>
      <protection locked="0"/>
    </xf>
    <xf numFmtId="0" fontId="3" fillId="0" borderId="22" xfId="0" applyFont="1" applyBorder="1" applyAlignment="1">
      <alignment horizontal="center" vertical="center" wrapText="1"/>
    </xf>
    <xf numFmtId="0" fontId="3" fillId="0" borderId="22" xfId="0" applyFont="1" applyBorder="1" applyAlignment="1">
      <alignment horizontal="left" vertical="top" wrapText="1"/>
    </xf>
    <xf numFmtId="166" fontId="3" fillId="0" borderId="22" xfId="0" applyNumberFormat="1" applyFont="1" applyBorder="1" applyAlignment="1">
      <alignment horizontal="center" vertical="center" wrapText="1"/>
    </xf>
    <xf numFmtId="166" fontId="3" fillId="0" borderId="22" xfId="0" applyNumberFormat="1" applyFont="1" applyBorder="1" applyAlignment="1" applyProtection="1">
      <alignment horizontal="center" vertical="center" wrapText="1"/>
      <protection locked="0"/>
    </xf>
    <xf numFmtId="167" fontId="3" fillId="0" borderId="22" xfId="0" applyNumberFormat="1" applyFont="1" applyBorder="1" applyAlignment="1" applyProtection="1">
      <alignment horizontal="center" vertical="center" wrapText="1"/>
      <protection locked="0"/>
    </xf>
    <xf numFmtId="0" fontId="3" fillId="0" borderId="22" xfId="0" applyFont="1" applyBorder="1" applyAlignment="1" applyProtection="1">
      <alignment horizontal="center" vertical="top" wrapText="1"/>
      <protection locked="0"/>
    </xf>
    <xf numFmtId="166" fontId="3" fillId="11" borderId="22" xfId="0" applyNumberFormat="1" applyFont="1" applyFill="1" applyBorder="1" applyAlignment="1" applyProtection="1">
      <alignment horizontal="center" vertical="center" wrapText="1"/>
      <protection locked="0"/>
    </xf>
    <xf numFmtId="0" fontId="3" fillId="0" borderId="22" xfId="0" applyFont="1" applyBorder="1" applyAlignment="1" applyProtection="1">
      <alignment horizontal="center" vertical="center"/>
      <protection locked="0"/>
    </xf>
    <xf numFmtId="14" fontId="3" fillId="0" borderId="22" xfId="0" applyNumberFormat="1" applyFont="1" applyBorder="1" applyAlignment="1" applyProtection="1">
      <alignment horizontal="center" vertical="center" wrapText="1"/>
      <protection locked="0"/>
    </xf>
    <xf numFmtId="14" fontId="3" fillId="0" borderId="22" xfId="0" applyNumberFormat="1" applyFont="1" applyBorder="1" applyAlignment="1" applyProtection="1">
      <alignment horizontal="center" vertical="center"/>
      <protection locked="0"/>
    </xf>
    <xf numFmtId="14" fontId="12" fillId="0" borderId="22" xfId="0" applyNumberFormat="1" applyFont="1" applyBorder="1" applyAlignment="1" applyProtection="1">
      <alignment horizontal="center" vertical="center"/>
      <protection locked="0"/>
    </xf>
    <xf numFmtId="9" fontId="3" fillId="0" borderId="22" xfId="0" applyNumberFormat="1" applyFont="1" applyBorder="1" applyAlignment="1" applyProtection="1">
      <alignment horizontal="center" vertical="center" wrapText="1"/>
      <protection locked="0"/>
    </xf>
    <xf numFmtId="9" fontId="3" fillId="0" borderId="22" xfId="0" applyNumberFormat="1" applyFont="1" applyBorder="1" applyAlignment="1" applyProtection="1">
      <alignment horizontal="center" vertical="center"/>
      <protection locked="0"/>
    </xf>
    <xf numFmtId="9" fontId="3" fillId="0" borderId="2" xfId="0" applyNumberFormat="1" applyFont="1" applyBorder="1" applyAlignment="1" applyProtection="1">
      <alignment horizontal="center" vertical="center"/>
      <protection locked="0"/>
    </xf>
    <xf numFmtId="0" fontId="9" fillId="0" borderId="22" xfId="0" applyFont="1" applyBorder="1" applyAlignment="1" applyProtection="1">
      <alignment horizontal="center" vertical="center" wrapText="1"/>
      <protection locked="0"/>
    </xf>
    <xf numFmtId="0" fontId="6" fillId="0" borderId="23" xfId="0" applyFont="1" applyBorder="1" applyAlignment="1" applyProtection="1">
      <alignment horizontal="left" vertical="top" wrapText="1"/>
      <protection locked="0"/>
    </xf>
    <xf numFmtId="14" fontId="9" fillId="11" borderId="3" xfId="0" applyNumberFormat="1" applyFont="1" applyFill="1" applyBorder="1" applyAlignment="1" applyProtection="1">
      <alignment horizontal="center" vertical="center"/>
      <protection locked="0"/>
    </xf>
    <xf numFmtId="4" fontId="35" fillId="0" borderId="2" xfId="0" applyNumberFormat="1" applyFont="1" applyBorder="1" applyAlignment="1" applyProtection="1">
      <alignment vertical="top" wrapText="1"/>
      <protection locked="0"/>
    </xf>
    <xf numFmtId="17" fontId="30" fillId="2" borderId="13" xfId="0" applyNumberFormat="1" applyFont="1" applyFill="1" applyBorder="1" applyAlignment="1">
      <alignment horizontal="center" vertical="center" wrapText="1"/>
    </xf>
    <xf numFmtId="17" fontId="9" fillId="2" borderId="1" xfId="0" applyNumberFormat="1" applyFont="1" applyFill="1" applyBorder="1" applyAlignment="1">
      <alignment horizontal="center" vertical="center" wrapText="1"/>
    </xf>
    <xf numFmtId="17" fontId="3" fillId="2" borderId="1" xfId="0" applyNumberFormat="1" applyFont="1" applyFill="1" applyBorder="1" applyAlignment="1">
      <alignment horizontal="center" vertical="center" wrapText="1"/>
    </xf>
    <xf numFmtId="14" fontId="9" fillId="0" borderId="3" xfId="0" applyNumberFormat="1" applyFont="1" applyBorder="1" applyAlignment="1" applyProtection="1">
      <alignment horizontal="center" vertical="center"/>
      <protection locked="0"/>
    </xf>
    <xf numFmtId="0" fontId="3" fillId="11" borderId="2" xfId="0" applyFont="1" applyFill="1" applyBorder="1" applyAlignment="1" applyProtection="1">
      <alignment horizontal="center" vertical="center"/>
      <protection locked="0"/>
    </xf>
    <xf numFmtId="14" fontId="6" fillId="11" borderId="17" xfId="0" applyNumberFormat="1" applyFont="1" applyFill="1" applyBorder="1" applyAlignment="1" applyProtection="1">
      <alignment horizontal="center" vertical="center"/>
      <protection locked="0"/>
    </xf>
    <xf numFmtId="0" fontId="31" fillId="0" borderId="4" xfId="0" applyFont="1" applyBorder="1" applyAlignment="1">
      <alignment horizontal="center" vertical="center" wrapText="1"/>
    </xf>
    <xf numFmtId="0" fontId="6" fillId="31" borderId="2" xfId="0" applyFont="1" applyFill="1" applyBorder="1" applyAlignment="1">
      <alignment horizontal="left" vertical="top" wrapText="1"/>
    </xf>
    <xf numFmtId="0" fontId="40" fillId="13" borderId="6" xfId="0" applyFont="1" applyFill="1" applyBorder="1" applyAlignment="1">
      <alignment vertical="top" wrapText="1"/>
    </xf>
    <xf numFmtId="4" fontId="9" fillId="0" borderId="22" xfId="0" applyNumberFormat="1" applyFont="1" applyBorder="1" applyAlignment="1" applyProtection="1">
      <alignment horizontal="center" vertical="center" wrapText="1"/>
      <protection locked="0"/>
    </xf>
    <xf numFmtId="0" fontId="3" fillId="11" borderId="22" xfId="0" applyFont="1" applyFill="1" applyBorder="1" applyAlignment="1" applyProtection="1">
      <alignment horizontal="center" vertical="center" wrapText="1"/>
      <protection locked="0"/>
    </xf>
    <xf numFmtId="0" fontId="4" fillId="11" borderId="3" xfId="0" applyFont="1" applyFill="1" applyBorder="1" applyAlignment="1" applyProtection="1">
      <alignment horizontal="center" vertical="center"/>
      <protection locked="0"/>
    </xf>
    <xf numFmtId="0" fontId="41" fillId="0" borderId="7" xfId="0" applyFont="1" applyBorder="1" applyAlignment="1">
      <alignment horizontal="left" vertical="top" wrapText="1"/>
    </xf>
    <xf numFmtId="0" fontId="31" fillId="0" borderId="7" xfId="0" applyFont="1" applyBorder="1" applyAlignment="1">
      <alignment horizontal="center" vertical="center" wrapText="1"/>
    </xf>
    <xf numFmtId="0" fontId="9" fillId="0" borderId="0" xfId="0" applyFont="1" applyAlignment="1" applyProtection="1">
      <alignment horizontal="center" vertical="center"/>
      <protection locked="0"/>
    </xf>
    <xf numFmtId="0" fontId="4" fillId="11" borderId="2" xfId="0" applyFont="1" applyFill="1" applyBorder="1" applyAlignment="1" applyProtection="1">
      <alignment horizontal="center" vertical="center"/>
      <protection locked="0"/>
    </xf>
    <xf numFmtId="4" fontId="43" fillId="0" borderId="2" xfId="0" applyNumberFormat="1" applyFont="1" applyBorder="1" applyAlignment="1" applyProtection="1">
      <alignment horizontal="left" vertical="top" wrapText="1"/>
      <protection locked="0"/>
    </xf>
    <xf numFmtId="0" fontId="35" fillId="15" borderId="3" xfId="0" applyFont="1" applyFill="1" applyBorder="1" applyAlignment="1">
      <alignment horizontal="left" vertical="top" wrapText="1"/>
    </xf>
    <xf numFmtId="9" fontId="3" fillId="0" borderId="8" xfId="0" applyNumberFormat="1" applyFont="1" applyBorder="1" applyAlignment="1">
      <alignment horizontal="center" vertical="center"/>
    </xf>
    <xf numFmtId="9" fontId="3" fillId="13" borderId="8" xfId="0" applyNumberFormat="1" applyFont="1" applyFill="1" applyBorder="1" applyAlignment="1">
      <alignment horizontal="center" vertical="center"/>
    </xf>
    <xf numFmtId="9" fontId="12" fillId="13" borderId="8" xfId="0" quotePrefix="1" applyNumberFormat="1" applyFont="1" applyFill="1" applyBorder="1" applyAlignment="1">
      <alignment horizontal="center" vertical="center" wrapText="1" readingOrder="1"/>
    </xf>
    <xf numFmtId="0" fontId="13" fillId="4" borderId="25" xfId="0" applyFont="1" applyFill="1" applyBorder="1" applyAlignment="1">
      <alignment horizontal="center" vertical="center" wrapText="1" readingOrder="1"/>
    </xf>
    <xf numFmtId="0" fontId="13" fillId="32" borderId="25" xfId="0" applyFont="1" applyFill="1" applyBorder="1" applyAlignment="1">
      <alignment horizontal="center" vertical="center" wrapText="1" readingOrder="1"/>
    </xf>
    <xf numFmtId="0" fontId="32" fillId="0" borderId="6" xfId="0" applyFont="1" applyBorder="1" applyAlignment="1">
      <alignment vertical="top" wrapText="1"/>
    </xf>
    <xf numFmtId="0" fontId="34" fillId="0" borderId="6" xfId="0" applyFont="1" applyBorder="1" applyAlignment="1">
      <alignment vertical="top" wrapText="1"/>
    </xf>
    <xf numFmtId="14" fontId="6" fillId="0" borderId="17" xfId="0" applyNumberFormat="1" applyFont="1" applyBorder="1" applyAlignment="1" applyProtection="1">
      <alignment horizontal="center" vertical="center"/>
      <protection locked="0"/>
    </xf>
    <xf numFmtId="0" fontId="3" fillId="0" borderId="2" xfId="0" quotePrefix="1" applyFont="1" applyBorder="1" applyAlignment="1" applyProtection="1">
      <alignment horizontal="center" vertical="center" wrapText="1"/>
      <protection locked="0"/>
    </xf>
    <xf numFmtId="0" fontId="44" fillId="0" borderId="6" xfId="0" applyFont="1" applyBorder="1" applyAlignment="1">
      <alignment vertical="top" wrapText="1"/>
    </xf>
    <xf numFmtId="0" fontId="3" fillId="33" borderId="2" xfId="0" applyFont="1" applyFill="1" applyBorder="1" applyAlignment="1">
      <alignment horizontal="center" vertical="center" wrapText="1"/>
    </xf>
    <xf numFmtId="166" fontId="12" fillId="33" borderId="2" xfId="0" applyNumberFormat="1" applyFont="1" applyFill="1" applyBorder="1" applyAlignment="1">
      <alignment horizontal="center" vertical="center" wrapText="1"/>
    </xf>
    <xf numFmtId="0" fontId="12" fillId="33" borderId="2" xfId="0" applyFont="1" applyFill="1" applyBorder="1" applyAlignment="1" applyProtection="1">
      <alignment horizontal="center" vertical="center" wrapText="1"/>
      <protection locked="0"/>
    </xf>
    <xf numFmtId="14" fontId="12" fillId="33" borderId="2" xfId="0" applyNumberFormat="1" applyFont="1" applyFill="1" applyBorder="1" applyAlignment="1">
      <alignment horizontal="center" vertical="center" wrapText="1"/>
    </xf>
    <xf numFmtId="0" fontId="3" fillId="33" borderId="0" xfId="0" applyFont="1" applyFill="1" applyAlignment="1" applyProtection="1">
      <alignment horizontal="center" vertical="center"/>
      <protection locked="0"/>
    </xf>
    <xf numFmtId="14" fontId="12" fillId="33" borderId="2" xfId="0" applyNumberFormat="1" applyFont="1" applyFill="1" applyBorder="1" applyAlignment="1" applyProtection="1">
      <alignment horizontal="center" vertical="center" wrapText="1"/>
      <protection locked="0"/>
    </xf>
    <xf numFmtId="0" fontId="12" fillId="33" borderId="2" xfId="0" applyFont="1" applyFill="1" applyBorder="1" applyAlignment="1">
      <alignment horizontal="center" vertical="center" wrapText="1"/>
    </xf>
    <xf numFmtId="167" fontId="12" fillId="33" borderId="2" xfId="0" applyNumberFormat="1" applyFont="1" applyFill="1" applyBorder="1" applyAlignment="1" applyProtection="1">
      <alignment horizontal="center" vertical="center" wrapText="1"/>
      <protection locked="0"/>
    </xf>
    <xf numFmtId="14" fontId="6" fillId="33" borderId="2" xfId="0" applyNumberFormat="1" applyFont="1" applyFill="1" applyBorder="1" applyAlignment="1" applyProtection="1">
      <alignment horizontal="center" vertical="center"/>
      <protection locked="0"/>
    </xf>
    <xf numFmtId="9" fontId="12" fillId="33" borderId="2" xfId="1" applyFont="1" applyFill="1" applyBorder="1" applyAlignment="1" applyProtection="1">
      <alignment horizontal="center" vertical="center" wrapText="1"/>
      <protection locked="0"/>
    </xf>
    <xf numFmtId="9" fontId="3" fillId="33" borderId="2" xfId="1" applyFont="1" applyFill="1" applyBorder="1" applyAlignment="1" applyProtection="1">
      <alignment horizontal="center" vertical="center"/>
      <protection locked="0"/>
    </xf>
    <xf numFmtId="9" fontId="12" fillId="33" borderId="2" xfId="1" applyFont="1" applyFill="1" applyBorder="1" applyAlignment="1" applyProtection="1">
      <alignment horizontal="center" vertical="center"/>
      <protection locked="0"/>
    </xf>
    <xf numFmtId="17" fontId="30" fillId="33" borderId="1" xfId="0" applyNumberFormat="1" applyFont="1" applyFill="1" applyBorder="1" applyAlignment="1">
      <alignment horizontal="center" vertical="center" wrapText="1"/>
    </xf>
    <xf numFmtId="0" fontId="5" fillId="33" borderId="2" xfId="0" applyFont="1" applyFill="1" applyBorder="1" applyAlignment="1" applyProtection="1">
      <alignment horizontal="center" vertical="center"/>
      <protection locked="0"/>
    </xf>
    <xf numFmtId="4" fontId="12" fillId="33" borderId="2" xfId="0" applyNumberFormat="1" applyFont="1" applyFill="1" applyBorder="1" applyAlignment="1" applyProtection="1">
      <alignment horizontal="center" vertical="center" wrapText="1"/>
      <protection locked="0"/>
    </xf>
    <xf numFmtId="14" fontId="12" fillId="33" borderId="2" xfId="0" applyNumberFormat="1" applyFont="1" applyFill="1" applyBorder="1" applyAlignment="1" applyProtection="1">
      <alignment horizontal="center" vertical="center"/>
      <protection locked="0"/>
    </xf>
    <xf numFmtId="0" fontId="3" fillId="33" borderId="0" xfId="0" applyFont="1" applyFill="1" applyAlignment="1" applyProtection="1">
      <alignment vertical="top"/>
      <protection locked="0"/>
    </xf>
    <xf numFmtId="0" fontId="12" fillId="11" borderId="2" xfId="0" applyFont="1" applyFill="1" applyBorder="1" applyAlignment="1" applyProtection="1">
      <alignment horizontal="center" vertical="center"/>
      <protection locked="0"/>
    </xf>
    <xf numFmtId="14" fontId="31" fillId="6" borderId="4" xfId="0" applyNumberFormat="1" applyFont="1" applyFill="1" applyBorder="1" applyAlignment="1">
      <alignment horizontal="center" vertical="top" wrapText="1"/>
    </xf>
    <xf numFmtId="0" fontId="31" fillId="6" borderId="4" xfId="0" applyFont="1" applyFill="1" applyBorder="1" applyAlignment="1">
      <alignment horizontal="center" vertical="top" wrapText="1"/>
    </xf>
    <xf numFmtId="14" fontId="9" fillId="0" borderId="22" xfId="0" applyNumberFormat="1" applyFont="1" applyBorder="1" applyAlignment="1" applyProtection="1">
      <alignment horizontal="center" vertical="center"/>
      <protection locked="0"/>
    </xf>
    <xf numFmtId="9" fontId="9" fillId="0" borderId="22" xfId="0" applyNumberFormat="1" applyFont="1" applyBorder="1" applyAlignment="1" applyProtection="1">
      <alignment horizontal="center" vertical="center" wrapText="1"/>
      <protection locked="0"/>
    </xf>
    <xf numFmtId="14" fontId="9" fillId="0" borderId="17" xfId="0" applyNumberFormat="1" applyFont="1" applyBorder="1" applyAlignment="1" applyProtection="1">
      <alignment horizontal="center" vertical="center"/>
      <protection locked="0"/>
    </xf>
    <xf numFmtId="9" fontId="9" fillId="0" borderId="17" xfId="0" applyNumberFormat="1" applyFont="1" applyBorder="1" applyAlignment="1" applyProtection="1">
      <alignment horizontal="center" vertical="center" wrapText="1"/>
      <protection locked="0"/>
    </xf>
    <xf numFmtId="166" fontId="3" fillId="0" borderId="22" xfId="0" applyNumberFormat="1" applyFont="1" applyFill="1" applyBorder="1" applyAlignment="1" applyProtection="1">
      <alignment horizontal="center" vertical="center" wrapText="1"/>
      <protection locked="0"/>
    </xf>
    <xf numFmtId="166" fontId="3" fillId="0" borderId="17" xfId="0" applyNumberFormat="1" applyFont="1" applyFill="1" applyBorder="1" applyAlignment="1" applyProtection="1">
      <alignment horizontal="center" vertical="center" wrapText="1"/>
      <protection locked="0"/>
    </xf>
    <xf numFmtId="0" fontId="18" fillId="16" borderId="0" xfId="2" applyFont="1" applyFill="1" applyAlignment="1" applyProtection="1">
      <alignment horizontal="right" vertical="center"/>
      <protection locked="0"/>
    </xf>
    <xf numFmtId="0" fontId="16" fillId="0" borderId="0" xfId="0" applyFont="1" applyAlignment="1" applyProtection="1">
      <alignment horizontal="left" vertical="center"/>
      <protection locked="0"/>
    </xf>
    <xf numFmtId="0" fontId="13" fillId="20" borderId="8" xfId="0" applyFont="1" applyFill="1" applyBorder="1" applyAlignment="1">
      <alignment horizontal="center" vertical="center" wrapText="1" readingOrder="1"/>
    </xf>
    <xf numFmtId="0" fontId="13" fillId="20" borderId="9" xfId="0" applyFont="1" applyFill="1" applyBorder="1" applyAlignment="1">
      <alignment horizontal="center" vertical="center" wrapText="1" readingOrder="1"/>
    </xf>
    <xf numFmtId="0" fontId="13" fillId="4" borderId="6" xfId="0" applyFont="1" applyFill="1" applyBorder="1" applyAlignment="1">
      <alignment horizontal="center" vertical="center" wrapText="1" readingOrder="1"/>
    </xf>
    <xf numFmtId="0" fontId="13" fillId="19" borderId="8" xfId="0" applyFont="1" applyFill="1" applyBorder="1" applyAlignment="1">
      <alignment horizontal="center" vertical="center" wrapText="1" readingOrder="1"/>
    </xf>
    <xf numFmtId="0" fontId="13" fillId="19" borderId="9" xfId="0" applyFont="1" applyFill="1" applyBorder="1" applyAlignment="1">
      <alignment horizontal="center" vertical="center" wrapText="1" readingOrder="1"/>
    </xf>
    <xf numFmtId="0" fontId="13" fillId="20" borderId="24" xfId="0" applyFont="1" applyFill="1" applyBorder="1" applyAlignment="1">
      <alignment horizontal="center" vertical="center" wrapText="1" readingOrder="1"/>
    </xf>
  </cellXfs>
  <cellStyles count="4">
    <cellStyle name="Hyperlink" xfId="3"/>
    <cellStyle name="Normal" xfId="0" builtinId="0"/>
    <cellStyle name="Normal 2" xfId="2"/>
    <cellStyle name="Porcentaje" xfId="1" builtinId="5"/>
  </cellStyles>
  <dxfs count="10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FF0000"/>
        <name val="Calibri"/>
        <scheme val="minor"/>
      </font>
      <fill>
        <patternFill patternType="none"/>
      </fill>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theme="1"/>
        <name val="Calibri"/>
        <scheme val="minor"/>
      </font>
      <numFmt numFmtId="0" formatCode="General"/>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scheme val="minor"/>
      </font>
      <numFmt numFmtId="0" formatCode="General"/>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scheme val="minor"/>
      </font>
      <numFmt numFmtId="0" formatCode="General"/>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scheme val="minor"/>
      </font>
      <numFmt numFmtId="166" formatCode="dd/mm/yyyy;@"/>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scheme val="minor"/>
      </font>
      <numFmt numFmtId="165" formatCode="&quot;S/&quot;\ #,##0.00"/>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border>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22" formatCode="mmm\-yy"/>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medium">
          <color rgb="FF000000"/>
        </top>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general" vertical="bottom" textRotation="0" wrapText="0" indent="0" justifyLastLine="0" shrinkToFit="0" readingOrder="0"/>
    </dxf>
    <dxf>
      <border outline="0">
        <bottom style="medium">
          <color rgb="FF000000"/>
        </bottom>
      </border>
    </dxf>
    <dxf>
      <font>
        <b/>
        <i val="0"/>
        <strike val="0"/>
        <condense val="0"/>
        <extend val="0"/>
        <outline val="0"/>
        <shadow val="0"/>
        <u val="none"/>
        <vertAlign val="baseline"/>
        <sz val="11"/>
        <color rgb="FFFFFFFF"/>
        <name val="Calibri"/>
        <scheme val="none"/>
      </font>
      <fill>
        <patternFill patternType="solid">
          <fgColor rgb="FF000000"/>
          <bgColor rgb="FF000000"/>
        </patternFill>
      </fill>
      <alignment horizontal="general" vertical="bottom" textRotation="0" wrapText="0" indent="0" justifyLastLine="0" shrinkToFit="0" readingOrder="0"/>
      <border diagonalUp="0" diagonalDown="0" outline="0">
        <left style="thin">
          <color rgb="FF000000"/>
        </left>
        <right style="thin">
          <color rgb="FF000000"/>
        </right>
        <top/>
        <bottom/>
      </border>
    </dxf>
    <dxf>
      <font>
        <strike val="0"/>
        <outline val="0"/>
        <shadow val="0"/>
        <vertAlign val="baseline"/>
        <sz val="10"/>
        <name val="Calibri"/>
        <scheme val="minor"/>
      </font>
      <numFmt numFmtId="0" formatCode="General"/>
      <alignment vertical="top"/>
      <protection locked="0" hidden="0"/>
    </dxf>
    <dxf>
      <font>
        <b/>
        <i val="0"/>
        <strike val="0"/>
        <condense val="0"/>
        <extend val="0"/>
        <outline val="0"/>
        <shadow val="0"/>
        <u val="none"/>
        <vertAlign val="baseline"/>
        <sz val="10"/>
        <color rgb="FF1923EB"/>
        <name val="Calibri"/>
        <scheme val="minor"/>
      </font>
      <alignment horizontal="left" vertical="top" textRotation="0" wrapText="1" indent="0" justifyLastLine="0" shrinkToFit="0" readingOrder="0"/>
      <border diagonalUp="0" diagonalDown="0">
        <left/>
        <right style="dotted">
          <color auto="1"/>
        </right>
        <top style="dotted">
          <color auto="1"/>
        </top>
        <bottom style="dotted">
          <color auto="1"/>
        </bottom>
      </border>
      <protection locked="0" hidden="0"/>
    </dxf>
    <dxf>
      <font>
        <b val="0"/>
        <i val="0"/>
        <strike val="0"/>
        <condense val="0"/>
        <extend val="0"/>
        <outline val="0"/>
        <shadow val="0"/>
        <u val="none"/>
        <vertAlign val="baseline"/>
        <sz val="10"/>
        <color rgb="FFFF0000"/>
        <name val="Calibri"/>
        <scheme val="minor"/>
      </font>
      <numFmt numFmtId="4" formatCode="#,##0.00"/>
      <alignment horizontal="center" vertical="center" textRotation="0" wrapText="1"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rgb="FFFF0000"/>
        <name val="Calibri"/>
        <scheme val="minor"/>
      </font>
      <numFmt numFmtId="0" formatCode="General"/>
      <alignment horizontal="center" vertical="center" textRotation="0" wrapText="1"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rgb="FFFF0000"/>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rgb="FFFF0000"/>
        <name val="Calibri"/>
        <scheme val="minor"/>
      </font>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rgb="FFFF0000"/>
        <name val="Calibri"/>
        <scheme val="minor"/>
      </font>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theme="1"/>
        <name val="Calibri"/>
        <scheme val="minor"/>
      </font>
      <numFmt numFmtId="13" formatCode="0%"/>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strike val="0"/>
        <outline val="0"/>
        <shadow val="0"/>
        <vertAlign val="baseline"/>
        <sz val="10"/>
        <color theme="1"/>
        <name val="Calibri"/>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numFmt numFmtId="13" formatCode="0%"/>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numFmt numFmtId="13" formatCode="0%"/>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auto="1"/>
        <name val="Calibri"/>
        <scheme val="minor"/>
      </font>
      <numFmt numFmtId="19" formatCode="d/mm/yyyy"/>
      <alignment horizontal="center" vertical="center" textRotation="0" wrapText="0" indent="0" justifyLastLine="0" shrinkToFit="0" readingOrder="0"/>
      <border diagonalUp="0" diagonalDown="0">
        <left/>
        <right/>
        <top style="dotted">
          <color auto="1"/>
        </top>
        <bottom style="dotted">
          <color auto="1"/>
        </bottom>
        <vertical/>
        <horizontal/>
      </border>
      <protection locked="0" hidden="0"/>
    </dxf>
    <dxf>
      <font>
        <b val="0"/>
        <i val="0"/>
        <strike val="0"/>
        <condense val="0"/>
        <extend val="0"/>
        <outline val="0"/>
        <shadow val="0"/>
        <u val="none"/>
        <vertAlign val="baseline"/>
        <sz val="10"/>
        <color auto="1"/>
        <name val="Calibri"/>
        <scheme val="minor"/>
      </font>
      <numFmt numFmtId="19" formatCode="d/mm/yyyy"/>
      <fill>
        <patternFill patternType="none">
          <fgColor indexed="64"/>
          <bgColor rgb="FFFFFF00"/>
        </patternFill>
      </fill>
      <alignment horizontal="center" vertical="center" textRotation="0" wrapText="0"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scheme val="minor"/>
      </font>
      <numFmt numFmtId="19" formatCode="d/mm/yyyy"/>
      <alignment horizontal="center" vertical="center" textRotation="0" wrapText="0"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numFmt numFmtId="19" formatCode="d/mm/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scheme val="minor"/>
      </font>
      <alignment horizontal="center" vertical="center" textRotation="0"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numFmt numFmtId="167" formatCode="m/d/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numFmt numFmtId="166" formatCode="dd/mm/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numFmt numFmtId="166" formatCode="dd/mm/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numFmt numFmtId="166" formatCode="dd/mm/yyyy;@"/>
      <fill>
        <patternFill patternType="solid">
          <fgColor indexed="64"/>
          <bgColor rgb="FFFFFF00"/>
        </patternFill>
      </fill>
      <alignment horizontal="center" vertical="center" textRotation="0" wrapText="1" indent="0" justifyLastLine="0" shrinkToFit="0" readingOrder="0"/>
      <border diagonalUp="0" diagonalDown="0" outline="0">
        <left/>
        <right/>
        <top style="dotted">
          <color auto="1"/>
        </top>
        <bottom style="dotted">
          <color auto="1"/>
        </bottom>
      </border>
    </dxf>
    <dxf>
      <font>
        <b val="0"/>
        <i val="0"/>
        <strike val="0"/>
        <condense val="0"/>
        <extend val="0"/>
        <outline val="0"/>
        <shadow val="0"/>
        <u val="none"/>
        <vertAlign val="baseline"/>
        <sz val="10"/>
        <color theme="1"/>
        <name val="Calibri"/>
        <scheme val="minor"/>
      </font>
      <numFmt numFmtId="166" formatCode="dd/mm/yyyy;@"/>
      <fill>
        <patternFill patternType="solid">
          <fgColor indexed="64"/>
          <bgColor rgb="FFFFFF00"/>
        </patternFill>
      </fill>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numFmt numFmtId="0" formatCode="General"/>
      <alignment horizontal="center" vertical="center" textRotation="0" wrapText="1"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numFmt numFmtId="0" formatCode="General"/>
      <alignment horizontal="center" vertical="center" textRotation="0" wrapText="1"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alignment horizontal="center" vertical="top"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fill>
        <patternFill patternType="none"/>
      </fill>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strike val="0"/>
        <outline val="0"/>
        <shadow val="0"/>
        <vertAlign val="baseline"/>
        <sz val="10"/>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numFmt numFmtId="167" formatCode="m/d/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scheme val="minor"/>
      </font>
      <numFmt numFmtId="166" formatCode="dd/mm/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numFmt numFmtId="166" formatCode="dd/mm/yyyy;@"/>
      <alignment horizontal="center" vertical="center" textRotation="0" wrapText="1" indent="0" justifyLastLine="0" shrinkToFit="0" readingOrder="0"/>
      <border diagonalUp="0" diagonalDown="0" outline="0">
        <left/>
        <right/>
        <top style="dotted">
          <color auto="1"/>
        </top>
        <bottom style="dotted">
          <color auto="1"/>
        </bottom>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dxf>
    <dxf>
      <font>
        <b val="0"/>
        <strike val="0"/>
        <outline val="0"/>
        <shadow val="0"/>
        <vertAlign val="baseline"/>
        <sz val="10"/>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1" hidden="0"/>
    </dxf>
    <dxf>
      <font>
        <b val="0"/>
        <strike val="0"/>
        <outline val="0"/>
        <shadow val="0"/>
        <vertAlign val="baseline"/>
        <sz val="10"/>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1" hidden="0"/>
    </dxf>
    <dxf>
      <font>
        <b val="0"/>
        <strike val="0"/>
        <outline val="0"/>
        <shadow val="0"/>
        <vertAlign val="baseline"/>
        <sz val="10"/>
        <name val="Calibri"/>
        <scheme val="minor"/>
      </font>
      <alignment horizontal="left" vertical="top" textRotation="0" wrapText="1" indent="0" justifyLastLine="0" shrinkToFit="0" readingOrder="0"/>
      <border diagonalUp="0" diagonalDown="0" outline="0">
        <left/>
        <right/>
        <top style="dotted">
          <color auto="1"/>
        </top>
        <bottom style="dotted">
          <color auto="1"/>
        </bottom>
      </border>
      <protection locked="1" hidden="0"/>
    </dxf>
    <dxf>
      <font>
        <b val="0"/>
        <strike val="0"/>
        <outline val="0"/>
        <shadow val="0"/>
        <vertAlign val="baseline"/>
        <sz val="10"/>
        <name val="Calibri"/>
        <scheme val="minor"/>
      </font>
      <fill>
        <patternFill patternType="none">
          <fgColor indexed="64"/>
          <bgColor auto="1"/>
        </patternFill>
      </fill>
      <alignment horizontal="left" vertical="top" textRotation="0" wrapText="1" indent="0" justifyLastLine="0" shrinkToFit="0" readingOrder="0"/>
      <border diagonalUp="0" diagonalDown="0" outline="0">
        <left/>
        <right/>
        <top style="dotted">
          <color auto="1"/>
        </top>
        <bottom style="dotted">
          <color auto="1"/>
        </bottom>
      </border>
      <protection locked="1" hidden="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1" hidden="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scheme val="minor"/>
      </font>
      <fill>
        <patternFill patternType="none"/>
      </fill>
      <alignment horizontal="center" vertical="center" textRotation="0" wrapText="1" indent="0" justifyLastLine="0" shrinkToFit="0" readingOrder="0"/>
      <border diagonalUp="0" diagonalDown="0" outline="0">
        <left style="dotted">
          <color auto="1"/>
        </left>
        <right/>
        <top style="dotted">
          <color auto="1"/>
        </top>
        <bottom style="dotted">
          <color auto="1"/>
        </bottom>
      </border>
      <protection locked="1" hidden="0"/>
    </dxf>
    <dxf>
      <border outline="0">
        <top style="thin">
          <color indexed="64"/>
        </top>
      </border>
    </dxf>
    <dxf>
      <font>
        <strike val="0"/>
        <outline val="0"/>
        <shadow val="0"/>
        <vertAlign val="baseline"/>
        <sz val="10"/>
        <name val="Calibri"/>
        <scheme val="minor"/>
      </font>
      <alignment vertical="top"/>
      <protection locked="0" hidden="0"/>
    </dxf>
    <dxf>
      <font>
        <b/>
        <i val="0"/>
        <strike val="0"/>
        <condense val="0"/>
        <extend val="0"/>
        <outline val="0"/>
        <shadow val="0"/>
        <u val="none"/>
        <vertAlign val="baseline"/>
        <sz val="10"/>
        <color theme="0"/>
        <name val="Calibri"/>
        <scheme val="minor"/>
      </font>
      <alignment horizontal="center" vertical="center" textRotation="0" wrapText="1" indent="0" justifyLastLine="0" shrinkToFit="0" readingOrder="0"/>
      <protection locked="0" hidden="0"/>
    </dxf>
    <dxf>
      <font>
        <b/>
        <strike val="0"/>
        <outline val="0"/>
        <shadow val="0"/>
        <u val="none"/>
        <vertAlign val="baseline"/>
        <sz val="10"/>
        <color rgb="FF1923EB"/>
        <name val="Calibri"/>
        <scheme val="minor"/>
      </font>
      <alignment horizontal="left" vertical="top" textRotation="0" wrapText="1" indent="0" justifyLastLine="0" shrinkToFit="0" readingOrder="0"/>
      <border diagonalUp="0" diagonalDown="0">
        <left style="dotted">
          <color auto="1"/>
        </left>
        <right style="dotted">
          <color auto="1"/>
        </right>
        <top style="dotted">
          <color auto="1"/>
        </top>
        <bottom style="dotted">
          <color auto="1"/>
        </bottom>
      </border>
    </dxf>
    <dxf>
      <font>
        <strike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scheme val="minor"/>
      </font>
      <numFmt numFmtId="13" formatCode="0%"/>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border>
    </dxf>
    <dxf>
      <font>
        <strike val="0"/>
        <outline val="0"/>
        <shadow val="0"/>
        <u val="none"/>
        <vertAlign val="baseline"/>
        <sz val="10"/>
        <color theme="1"/>
        <name val="Calibri"/>
        <scheme val="minor"/>
      </font>
      <numFmt numFmtId="13" formatCode="0%"/>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scheme val="minor"/>
      </font>
      <numFmt numFmtId="13" formatCode="0%"/>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scheme val="minor"/>
      </font>
      <numFmt numFmtId="166" formatCode="dd/mm/yyyy;@"/>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scheme val="minor"/>
      </font>
      <numFmt numFmtId="166" formatCode="dd/mm/yyyy;@"/>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scheme val="minor"/>
      </font>
      <numFmt numFmtId="166" formatCode="dd/mm/yyyy;@"/>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scheme val="minor"/>
      </font>
      <numFmt numFmtId="165" formatCode="&quot;S/&quot;\ #,##0.00"/>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dxf>
    <dxf>
      <font>
        <b val="0"/>
        <i val="0"/>
        <strike val="0"/>
        <condense val="0"/>
        <extend val="0"/>
        <outline val="0"/>
        <shadow val="0"/>
        <u val="none"/>
        <vertAlign val="baseline"/>
        <sz val="10"/>
        <color theme="1"/>
        <name val="Calibri"/>
        <scheme val="minor"/>
      </font>
      <numFmt numFmtId="165" formatCode="&quot;S/&quot;\ #,##0.00"/>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dxf>
    <dxf>
      <font>
        <b val="0"/>
        <i val="0"/>
        <strike val="0"/>
        <condense val="0"/>
        <extend val="0"/>
        <outline val="0"/>
        <shadow val="0"/>
        <u val="none"/>
        <vertAlign val="baseline"/>
        <sz val="10"/>
        <color theme="1"/>
        <name val="Calibri"/>
        <scheme val="minor"/>
      </font>
      <numFmt numFmtId="165" formatCode="&quot;S/&quot;\ #,##0.00"/>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scheme val="minor"/>
      </font>
      <alignment horizontal="left" vertical="top"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scheme val="minor"/>
      </font>
      <alignment horizontal="left" vertical="top"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scheme val="minor"/>
      </font>
      <alignment horizontal="center" vertical="center" textRotation="0" wrapText="0"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scheme val="minor"/>
      </font>
      <alignment horizontal="center" vertical="center" textRotation="0" indent="0" justifyLastLine="0" shrinkToFit="0" readingOrder="0"/>
    </dxf>
    <dxf>
      <font>
        <b/>
        <strike val="0"/>
        <outline val="0"/>
        <shadow val="0"/>
        <u val="none"/>
        <vertAlign val="baseline"/>
        <sz val="10"/>
        <color theme="1"/>
        <name val="Calibri"/>
        <scheme val="minor"/>
      </font>
      <alignment horizontal="center" vertical="center" textRotation="0" indent="0" justifyLastLine="0" shrinkToFit="0" readingOrder="0"/>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Estilo de tabla 2" pivot="0" count="1">
      <tableStyleElement type="wholeTable" dxfId="103"/>
    </tableStyle>
  </tableStyles>
  <colors>
    <mruColors>
      <color rgb="FF1923EB"/>
      <color rgb="FFFFE082"/>
      <color rgb="FFFFC000"/>
      <color rgb="FFDB7676"/>
      <color rgb="FF6EAEE6"/>
      <color rgb="FF8EAB65"/>
      <color rgb="FFE099DE"/>
      <color rgb="FF059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sanchezr/Downloads/Portafolio_Demanda_TI_DE12.02.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ciones"/>
    </sheetNames>
    <sheetDataSet>
      <sheetData sheetId="0"/>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Lizzet" id="{BFFE39CF-5B56-4F0B-AF8D-D5B5E4F0E33A}">
    <nsvFilter filterId="{DC90121A-D366-46F0-9F31-91E57CF88A1B}" ref="A4:AV115" tableId="65">
      <columnFilter colId="3" id="{C3ED0286-9477-492C-AC37-E6B4EB0A11DD}">
        <filter colId="3">
          <x:filters>
            <x:filter val="2024-M0410"/>
          </x:filters>
        </filter>
      </columnFilter>
    </nsvFilter>
  </namedSheetView>
  <namedSheetView name="Ver1" id="{8C1B85A8-BE51-4E7F-867C-F5E22416D258}">
    <nsvFilter filterId="{DC90121A-D366-46F0-9F31-91E57CF88A1B}" ref="A4:AV115" tableId="65">
      <columnFilter colId="24" id="{25E1A21F-477F-4DA5-B33C-4845ECD6288C}">
        <filter colId="24">
          <x:filters>
            <x:filter val="Sentinel"/>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PRACTICANTE - GERSON DANIEL SAHUMA JURADO" id="{0AF2D842-BCF9-4449-AD8B-D6787A0FFBE4}" userId="S::pra_gsahuma@bn.com.pe::2749e2f8-9bfe-48df-b08c-daca1ffc157a" providerId="AD"/>
</personList>
</file>

<file path=xl/tables/table1.xml><?xml version="1.0" encoding="utf-8"?>
<table xmlns="http://schemas.openxmlformats.org/spreadsheetml/2006/main" id="3" name="Tabla3" displayName="Tabla3" ref="A2:AE43" totalsRowShown="0" headerRowDxfId="102" dataDxfId="101">
  <autoFilter ref="A2:AE43"/>
  <tableColumns count="31">
    <tableColumn id="1" name="N°" dataDxfId="100"/>
    <tableColumn id="2" name="Código de Planeamiento" dataDxfId="99"/>
    <tableColumn id="4" name="Nombre del Proyecto" dataDxfId="98"/>
    <tableColumn id="5" name="Alcance del Proyecto" dataDxfId="97"/>
    <tableColumn id="16391" name="Gerencia Líder" dataDxfId="96"/>
    <tableColumn id="16390" name="Líder del Proyecto" dataDxfId="95"/>
    <tableColumn id="16389" name="Usuario Funcional" dataDxfId="94"/>
    <tableColumn id="16408" name="Gestor de Planeamiento" dataDxfId="93"/>
    <tableColumn id="16401" name="Presupuesto asignado" dataDxfId="8">
      <calculatedColumnFormula>RANDBETWEEN(100,100000)</calculatedColumnFormula>
    </tableColumn>
    <tableColumn id="7" name="Valor Ganado (EV)" dataDxfId="92">
      <calculatedColumnFormula>Tabla3[[#This Row],[Presupuesto asignado]]/2</calculatedColumnFormula>
    </tableColumn>
    <tableColumn id="6" name="Costo Actual (AC)" dataDxfId="91">
      <calculatedColumnFormula>Tabla3[[#This Row],[Valor Ganado (EV)]]</calculatedColumnFormula>
    </tableColumn>
    <tableColumn id="3" name="CPI" dataDxfId="90">
      <calculatedColumnFormula>Tabla3[[#This Row],[Valor Ganado (EV)]]/Tabla3[[#This Row],[Costo Actual (AC)]]</calculatedColumnFormula>
    </tableColumn>
    <tableColumn id="16399" name="Fecha Comité Ejec. Proy." dataDxfId="7">
      <calculatedColumnFormula>DATE(RANDBETWEEN(2020,2026),RANDBETWEEN(1,12),RANDBETWEEN(1,30))</calculatedColumnFormula>
    </tableColumn>
    <tableColumn id="16400" name="N° Acta Comité_x000a_(aprobación)" dataDxfId="89"/>
    <tableColumn id="16404" name="Dimensión" dataDxfId="88"/>
    <tableColumn id="16405" name="Objetivo" dataDxfId="87"/>
    <tableColumn id="16403" name="Año Inicio Planificado" dataDxfId="6">
      <calculatedColumnFormula>YEAR(Tabla3[[#This Row],[Fecha Comité Ejec. Proy.]])</calculatedColumnFormula>
    </tableColumn>
    <tableColumn id="16402" name="Año Fin Planificado" dataDxfId="5">
      <calculatedColumnFormula>Tabla3[[#This Row],[Año Inicio Planificado]] + 2</calculatedColumnFormula>
    </tableColumn>
    <tableColumn id="16406" name="N° Solicitudes de cambio" dataDxfId="4">
      <calculatedColumnFormula>RANDBETWEEN(1,4)</calculatedColumnFormula>
    </tableColumn>
    <tableColumn id="16409" name="Componente Tecnológico" dataDxfId="86"/>
    <tableColumn id="16407" name="Transformación Digital" dataDxfId="85"/>
    <tableColumn id="16394" name="Cartera" dataDxfId="84"/>
    <tableColumn id="18" name="Anexo 1 _x000a_(Modelo de Negocio)" dataDxfId="83"/>
    <tableColumn id="20" name="Líder Técnico" dataDxfId="82"/>
    <tableColumn id="21" name="Fecha Inicio" dataDxfId="81"/>
    <tableColumn id="22" name="Fecha Fin" dataDxfId="80"/>
    <tableColumn id="23" name="% Avance Planificado" dataDxfId="79"/>
    <tableColumn id="24" name="% Avance ejecutado" dataDxfId="78"/>
    <tableColumn id="25" name="Desv. %" dataDxfId="77">
      <calculatedColumnFormula>Tabla3[[#This Row],[% Avance ejecutado]]-Tabla3[[#This Row],[% Avance Planificado]]/Tabla3[[#This Row],[% Avance Planificado]]</calculatedColumnFormula>
    </tableColumn>
    <tableColumn id="26" name="Estado" dataDxfId="76"/>
    <tableColumn id="27" name="SEGUIMIENTO  _x000a_(Planeamiento y Control de Gestión)" dataDxfId="75"/>
  </tableColumns>
  <tableStyleInfo name="TableStyleMedium1" showFirstColumn="0" showLastColumn="0" showRowStripes="1" showColumnStripes="0"/>
</table>
</file>

<file path=xl/tables/table2.xml><?xml version="1.0" encoding="utf-8"?>
<table xmlns="http://schemas.openxmlformats.org/spreadsheetml/2006/main" id="65" name="DemandaEstrateg_" displayName="DemandaEstrateg_" ref="A4:AV115" totalsRowShown="0" headerRowDxfId="74" dataDxfId="73" tableBorderDxfId="72">
  <autoFilter ref="A4:AV115"/>
  <tableColumns count="48">
    <tableColumn id="23" name="ID" dataDxfId="71"/>
    <tableColumn id="38" name="ID Trámite" dataDxfId="70"/>
    <tableColumn id="3" name="ID Dependencia" dataDxfId="69"/>
    <tableColumn id="24" name="ID Proyecto / Mantenimiento asociado" dataDxfId="68"/>
    <tableColumn id="26" name="Tipo de Requerimiento" dataDxfId="67"/>
    <tableColumn id="4" name="Nombre del Proyecto" dataDxfId="66"/>
    <tableColumn id="5" name="Alcance del Proyecto" dataDxfId="65"/>
    <tableColumn id="9" name="Gerencia Líder" dataDxfId="64"/>
    <tableColumn id="12" name="Líder del Proyecto" dataDxfId="63"/>
    <tableColumn id="10" name="Usuario Funcional" dataDxfId="62"/>
    <tableColumn id="45" name="Gestor  de Planeamiento" dataDxfId="61"/>
    <tableColumn id="18" name="Fecha de Solicitud a TI" dataDxfId="60"/>
    <tableColumn id="25" name="Memorando STD" dataDxfId="59"/>
    <tableColumn id="20" name="Canal de Atención" dataDxfId="58"/>
    <tableColumn id="2" name="Producto" dataDxfId="57"/>
    <tableColumn id="1" name="Servicio" dataDxfId="56"/>
    <tableColumn id="69" name="Categoría" dataDxfId="55"/>
    <tableColumn id="71" name="Entidad reguladora / Organo de Control" dataDxfId="54"/>
    <tableColumn id="72" name="N° Norma / N° Informe" dataDxfId="53"/>
    <tableColumn id="17" name="N° recomendación" dataDxfId="52"/>
    <tableColumn id="44" name="Año Inicio Planificado" dataDxfId="51"/>
    <tableColumn id="43" name="Año Fin Planificado" dataDxfId="50"/>
    <tableColumn id="37" name="Fecha de Aprobación en Comité" dataDxfId="49"/>
    <tableColumn id="56" name="Presupuesto asignado" dataDxfId="48"/>
    <tableColumn id="39" name="Cartera" dataDxfId="47"/>
    <tableColumn id="32" name="Gestor TI" dataDxfId="46"/>
    <tableColumn id="29" name="Aplicativo" dataDxfId="45"/>
    <tableColumn id="13" name="Área Responsable TI" dataDxfId="44"/>
    <tableColumn id="42" name="Entidad / Proveedor Asignado" dataDxfId="43"/>
    <tableColumn id="14" name="Líder Técnico" dataDxfId="42"/>
    <tableColumn id="15" name="Analista asignado" dataDxfId="41"/>
    <tableColumn id="30" name="Motivo según estado" dataDxfId="40"/>
    <tableColumn id="41" name="Fecha registro trámite" dataDxfId="39"/>
    <tableColumn id="31" name="Fecha Inicio- Plan" dataDxfId="38"/>
    <tableColumn id="27" name="Fecha Fin- Plan" dataDxfId="37"/>
    <tableColumn id="34" name="Fecha Fin Ral _x000a_(CQ)" dataDxfId="36"/>
    <tableColumn id="22" name="% Avance Planificado" dataDxfId="35"/>
    <tableColumn id="6" name="% Avance ejecutado" dataDxfId="34"/>
    <tableColumn id="36" name="Desv. %" dataDxfId="33">
      <calculatedColumnFormula>IF(DemandaEstrateg_[[#This Row],[Tipo de Requerimiento]]="Proyecto",(DemandaEstrateg_[[#This Row],[% Avance ejecutado]]-DemandaEstrateg_[[#This Row],[% Avance Planificado]])/DemandaEstrateg_[[#This Row],[% Avance Planificado]],"No aplica")</calculatedColumnFormula>
    </tableColumn>
    <tableColumn id="19" name="Días faltantes" dataDxfId="32">
      <calculatedColumnFormula>IF(DemandaEstrateg_[[#This Row],[Tipo de Requerimiento]]="Proyecto",(DemandaEstrateg_[[#This Row],[% Avance ejecutado]]-DemandaEstrateg_[[#This Row],[% Avance Planificado]])/DemandaEstrateg_[[#This Row],[% Avance Planificado]],"No aplica")</calculatedColumnFormula>
    </tableColumn>
    <tableColumn id="7" name="ALERTA" dataDxfId="31"/>
    <tableColumn id="21" name="Fecha Fin TI Propuesta" dataDxfId="30"/>
    <tableColumn id="11" name="Fecha Fin TI (Trimestre)" dataDxfId="29"/>
    <tableColumn id="8" name="Últ. Estado CQ 30.04" dataDxfId="3"/>
    <tableColumn id="51" name="Estado TI" dataDxfId="28">
      <calculatedColumnFormula>VLOOKUP(DemandaEstrateg_[[#This Row],[Últ. Estado CQ 30.04]],#REF!,3,FALSE)</calculatedColumnFormula>
    </tableColumn>
    <tableColumn id="49" name="Estado Proyecto TI" dataDxfId="27">
      <calculatedColumnFormula>VLOOKUP(DemandaEstrateg_[[#This Row],[Estado TI]],#REF!,3,FALSE)</calculatedColumnFormula>
    </tableColumn>
    <tableColumn id="48" name="Seguimiento OPP" dataDxfId="26"/>
    <tableColumn id="16" name="Código de Planeamiento" dataDxfId="25">
      <calculatedColumnFormula>'Portafolio P&amp;D'!B11</calculatedColumnFormula>
    </tableColumn>
  </tableColumns>
  <tableStyleInfo name="Estilo de tabla 2" showFirstColumn="0" showLastColumn="0" showRowStripes="1" showColumnStripes="0"/>
</table>
</file>

<file path=xl/tables/table3.xml><?xml version="1.0" encoding="utf-8"?>
<table xmlns="http://schemas.openxmlformats.org/spreadsheetml/2006/main" id="15" name="Tabla15" displayName="Tabla15" ref="A1:L34" totalsRowShown="0" headerRowDxfId="24" dataDxfId="22" headerRowBorderDxfId="23" tableBorderDxfId="21">
  <autoFilter ref="A1:L34"/>
  <tableColumns count="12">
    <tableColumn id="1" name="PROYECTO" dataDxfId="20"/>
    <tableColumn id="2" name="N°" dataDxfId="19"/>
    <tableColumn id="3" name="CÓDIGO DE PLANEAMIENTO" dataDxfId="18"/>
    <tableColumn id="4" name="LIDER DEL PROYECTO" dataDxfId="17"/>
    <tableColumn id="5" name="LÍDER TÉCNICO" dataDxfId="16"/>
    <tableColumn id="6" name="FECHA COMPROMISO" dataDxfId="15"/>
    <tableColumn id="7" name="Pendientes" dataDxfId="14"/>
    <tableColumn id="8" name="Responsable" dataDxfId="13"/>
    <tableColumn id="9" name="Fecha Compromiso2" dataDxfId="12"/>
    <tableColumn id="10" name="Apoyo BN" dataDxfId="11"/>
    <tableColumn id="11" name="Proveedores" dataDxfId="10"/>
    <tableColumn id="12" name="Estado" dataDxfId="9"/>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9/04/relationships/namedSheetView" Target="../namedSheetViews/namedSheetView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AE43"/>
  <sheetViews>
    <sheetView zoomScale="70" zoomScaleNormal="70" workbookViewId="0">
      <pane xSplit="4" topLeftCell="U1" activePane="topRight" state="frozen"/>
      <selection activeCell="A3" sqref="A3"/>
      <selection pane="topRight" activeCell="AE3" sqref="AE3:AE43"/>
    </sheetView>
  </sheetViews>
  <sheetFormatPr baseColWidth="10" defaultColWidth="11.5703125" defaultRowHeight="49.9" customHeight="1" x14ac:dyDescent="0.25"/>
  <cols>
    <col min="1" max="1" width="11.5703125" style="5" customWidth="1"/>
    <col min="2" max="2" width="11.5703125" style="11" customWidth="1"/>
    <col min="3" max="3" width="34.85546875" style="12" customWidth="1"/>
    <col min="4" max="4" width="44.28515625" style="12" customWidth="1"/>
    <col min="5" max="5" width="11.42578125" style="11" customWidth="1"/>
    <col min="6" max="8" width="11.5703125" style="11" customWidth="1"/>
    <col min="9" max="9" width="16.140625" style="11" customWidth="1"/>
    <col min="10" max="12" width="16.140625" style="11" hidden="1" customWidth="1"/>
    <col min="13" max="13" width="13.5703125" style="11" customWidth="1"/>
    <col min="14" max="14" width="11.5703125" style="11" customWidth="1"/>
    <col min="15" max="15" width="14.7109375" style="11" customWidth="1"/>
    <col min="16" max="16" width="13.28515625" style="11" customWidth="1"/>
    <col min="17" max="19" width="11.5703125" style="11" customWidth="1"/>
    <col min="20" max="21" width="11.5703125" style="5" customWidth="1"/>
    <col min="22" max="22" width="13.140625" style="11" customWidth="1"/>
    <col min="23" max="30" width="11.5703125" style="11" customWidth="1"/>
    <col min="31" max="31" width="39.42578125" style="12" customWidth="1"/>
    <col min="32" max="16384" width="11.5703125" style="5"/>
  </cols>
  <sheetData>
    <row r="1" spans="1:31" ht="26.45" customHeight="1" x14ac:dyDescent="0.25"/>
    <row r="2" spans="1:31" s="22" customFormat="1" ht="38.25" x14ac:dyDescent="0.25">
      <c r="A2" s="20" t="s">
        <v>0</v>
      </c>
      <c r="B2" s="21" t="s">
        <v>1</v>
      </c>
      <c r="C2" s="21" t="s">
        <v>2</v>
      </c>
      <c r="D2" s="21" t="s">
        <v>3</v>
      </c>
      <c r="E2" s="21" t="s">
        <v>4</v>
      </c>
      <c r="F2" s="21" t="s">
        <v>5</v>
      </c>
      <c r="G2" s="163" t="s">
        <v>6</v>
      </c>
      <c r="H2" s="21" t="s">
        <v>7</v>
      </c>
      <c r="I2" s="21" t="s">
        <v>8</v>
      </c>
      <c r="J2" s="21" t="s">
        <v>9</v>
      </c>
      <c r="K2" s="21" t="s">
        <v>10</v>
      </c>
      <c r="L2" s="21" t="s">
        <v>11</v>
      </c>
      <c r="M2" s="21" t="s">
        <v>12</v>
      </c>
      <c r="N2" s="21" t="s">
        <v>13</v>
      </c>
      <c r="O2" s="21" t="s">
        <v>14</v>
      </c>
      <c r="P2" s="21" t="s">
        <v>15</v>
      </c>
      <c r="Q2" s="21" t="s">
        <v>16</v>
      </c>
      <c r="R2" s="21" t="s">
        <v>17</v>
      </c>
      <c r="S2" s="26" t="s">
        <v>18</v>
      </c>
      <c r="T2" s="24" t="s">
        <v>19</v>
      </c>
      <c r="U2" s="24" t="s">
        <v>20</v>
      </c>
      <c r="V2" s="32" t="s">
        <v>21</v>
      </c>
      <c r="W2" s="23" t="s">
        <v>22</v>
      </c>
      <c r="X2" s="34" t="s">
        <v>23</v>
      </c>
      <c r="Y2" s="21" t="s">
        <v>24</v>
      </c>
      <c r="Z2" s="21" t="s">
        <v>25</v>
      </c>
      <c r="AA2" s="21" t="s">
        <v>26</v>
      </c>
      <c r="AB2" s="21" t="s">
        <v>27</v>
      </c>
      <c r="AC2" s="23" t="s">
        <v>28</v>
      </c>
      <c r="AD2" s="23" t="s">
        <v>29</v>
      </c>
      <c r="AE2" s="23" t="s">
        <v>30</v>
      </c>
    </row>
    <row r="3" spans="1:31" ht="49.9" customHeight="1" x14ac:dyDescent="0.25">
      <c r="A3" s="14">
        <v>1</v>
      </c>
      <c r="B3" s="3" t="s">
        <v>31</v>
      </c>
      <c r="C3" s="6" t="s">
        <v>426</v>
      </c>
      <c r="D3" s="6"/>
      <c r="E3" s="3" t="s">
        <v>301</v>
      </c>
      <c r="F3" s="3" t="s">
        <v>303</v>
      </c>
      <c r="G3" s="3" t="s">
        <v>344</v>
      </c>
      <c r="H3" s="3" t="s">
        <v>385</v>
      </c>
      <c r="I3" s="16">
        <f t="shared" ref="I3:I43" ca="1" si="0">RANDBETWEEN(100,100000)</f>
        <v>70305</v>
      </c>
      <c r="J3" s="16"/>
      <c r="K3" s="16"/>
      <c r="L3" s="16"/>
      <c r="M3" s="15">
        <f t="shared" ref="M3:M43" ca="1" si="1">DATE(RANDBETWEEN(2020,2026),RANDBETWEEN(1,12),RANDBETWEEN(1,30))</f>
        <v>44724</v>
      </c>
      <c r="N3" s="3">
        <v>1</v>
      </c>
      <c r="O3" s="3" t="s">
        <v>467</v>
      </c>
      <c r="P3" s="3"/>
      <c r="Q3" s="3">
        <f ca="1">YEAR(Tabla3[[#This Row],[Fecha Comité Ejec. Proy.]])</f>
        <v>2022</v>
      </c>
      <c r="R3" s="3">
        <f ca="1">Tabla3[[#This Row],[Año Inicio Planificado]] + 2</f>
        <v>2024</v>
      </c>
      <c r="S3" s="3">
        <f t="shared" ref="S3:S43" ca="1" si="2">RANDBETWEEN(1,4)</f>
        <v>2</v>
      </c>
      <c r="T3" s="14"/>
      <c r="U3" s="33"/>
      <c r="V3" s="3" t="s">
        <v>469</v>
      </c>
      <c r="W3" s="3"/>
      <c r="X3" s="3"/>
      <c r="Y3" s="15"/>
      <c r="Z3" s="15"/>
      <c r="AA3" s="17">
        <v>0</v>
      </c>
      <c r="AB3" s="17">
        <v>0</v>
      </c>
      <c r="AC3" s="25" t="e">
        <f>Tabla3[[#This Row],[% Avance ejecutado]]-Tabla3[[#This Row],[% Avance Planificado]]/Tabla3[[#This Row],[% Avance Planificado]]</f>
        <v>#DIV/0!</v>
      </c>
      <c r="AD3" s="164" t="s">
        <v>33</v>
      </c>
      <c r="AE3" s="18"/>
    </row>
    <row r="4" spans="1:31" ht="49.9" customHeight="1" x14ac:dyDescent="0.25">
      <c r="A4" s="14">
        <v>2</v>
      </c>
      <c r="B4" s="3" t="s">
        <v>31</v>
      </c>
      <c r="C4" s="6" t="s">
        <v>427</v>
      </c>
      <c r="D4" s="6"/>
      <c r="E4" s="3" t="s">
        <v>301</v>
      </c>
      <c r="F4" s="3" t="s">
        <v>304</v>
      </c>
      <c r="G4" s="3" t="s">
        <v>345</v>
      </c>
      <c r="H4" s="3" t="s">
        <v>386</v>
      </c>
      <c r="I4" s="16">
        <f t="shared" ca="1" si="0"/>
        <v>91002</v>
      </c>
      <c r="J4" s="16"/>
      <c r="K4" s="16"/>
      <c r="L4" s="16"/>
      <c r="M4" s="15">
        <f t="shared" ca="1" si="1"/>
        <v>46074</v>
      </c>
      <c r="N4" s="3">
        <v>2</v>
      </c>
      <c r="O4" s="3" t="s">
        <v>467</v>
      </c>
      <c r="P4" s="3"/>
      <c r="Q4" s="3">
        <f ca="1">YEAR(Tabla3[[#This Row],[Fecha Comité Ejec. Proy.]])</f>
        <v>2026</v>
      </c>
      <c r="R4" s="3">
        <f ca="1">Tabla3[[#This Row],[Año Inicio Planificado]] + 2</f>
        <v>2028</v>
      </c>
      <c r="S4" s="3">
        <f t="shared" ca="1" si="2"/>
        <v>1</v>
      </c>
      <c r="T4" s="14"/>
      <c r="U4" s="33"/>
      <c r="V4" s="3" t="s">
        <v>469</v>
      </c>
      <c r="W4" s="3"/>
      <c r="X4" s="3"/>
      <c r="Y4" s="15"/>
      <c r="Z4" s="15"/>
      <c r="AA4" s="17">
        <v>0</v>
      </c>
      <c r="AB4" s="17">
        <v>0</v>
      </c>
      <c r="AC4" s="25" t="e">
        <f>Tabla3[[#This Row],[% Avance ejecutado]]-Tabla3[[#This Row],[% Avance Planificado]]/Tabla3[[#This Row],[% Avance Planificado]]</f>
        <v>#DIV/0!</v>
      </c>
      <c r="AD4" s="164" t="s">
        <v>33</v>
      </c>
      <c r="AE4" s="165"/>
    </row>
    <row r="5" spans="1:31" ht="49.9" customHeight="1" x14ac:dyDescent="0.25">
      <c r="A5" s="14">
        <v>3</v>
      </c>
      <c r="B5" s="3" t="s">
        <v>31</v>
      </c>
      <c r="C5" s="6" t="s">
        <v>428</v>
      </c>
      <c r="D5" s="6"/>
      <c r="E5" s="3" t="s">
        <v>301</v>
      </c>
      <c r="F5" s="3" t="s">
        <v>305</v>
      </c>
      <c r="G5" s="3" t="s">
        <v>346</v>
      </c>
      <c r="H5" s="3" t="s">
        <v>387</v>
      </c>
      <c r="I5" s="16">
        <f t="shared" ca="1" si="0"/>
        <v>48611</v>
      </c>
      <c r="J5" s="16"/>
      <c r="K5" s="16"/>
      <c r="L5" s="16"/>
      <c r="M5" s="15">
        <f t="shared" ca="1" si="1"/>
        <v>43840</v>
      </c>
      <c r="N5" s="3">
        <v>1</v>
      </c>
      <c r="O5" s="3" t="s">
        <v>467</v>
      </c>
      <c r="P5" s="3"/>
      <c r="Q5" s="3">
        <f ca="1">YEAR(Tabla3[[#This Row],[Fecha Comité Ejec. Proy.]])</f>
        <v>2020</v>
      </c>
      <c r="R5" s="3">
        <f ca="1">Tabla3[[#This Row],[Año Inicio Planificado]] + 2</f>
        <v>2022</v>
      </c>
      <c r="S5" s="3">
        <f t="shared" ca="1" si="2"/>
        <v>3</v>
      </c>
      <c r="T5" s="14"/>
      <c r="U5" s="33"/>
      <c r="V5" s="3" t="s">
        <v>469</v>
      </c>
      <c r="W5" s="3"/>
      <c r="X5" s="3"/>
      <c r="Y5" s="15"/>
      <c r="Z5" s="15"/>
      <c r="AA5" s="17">
        <v>0</v>
      </c>
      <c r="AB5" s="17">
        <v>0</v>
      </c>
      <c r="AC5" s="25" t="e">
        <f>Tabla3[[#This Row],[% Avance ejecutado]]-Tabla3[[#This Row],[% Avance Planificado]]/Tabla3[[#This Row],[% Avance Planificado]]</f>
        <v>#DIV/0!</v>
      </c>
      <c r="AD5" s="164" t="s">
        <v>33</v>
      </c>
      <c r="AE5" s="165"/>
    </row>
    <row r="6" spans="1:31" ht="49.9" customHeight="1" x14ac:dyDescent="0.25">
      <c r="A6" s="14">
        <v>4</v>
      </c>
      <c r="B6" s="3" t="s">
        <v>31</v>
      </c>
      <c r="C6" s="6" t="s">
        <v>429</v>
      </c>
      <c r="D6" s="6"/>
      <c r="E6" s="3" t="s">
        <v>301</v>
      </c>
      <c r="F6" s="3" t="s">
        <v>306</v>
      </c>
      <c r="G6" s="3" t="s">
        <v>347</v>
      </c>
      <c r="H6" s="3" t="s">
        <v>388</v>
      </c>
      <c r="I6" s="16">
        <f t="shared" ca="1" si="0"/>
        <v>53926</v>
      </c>
      <c r="J6" s="16"/>
      <c r="K6" s="16"/>
      <c r="L6" s="16"/>
      <c r="M6" s="15">
        <f t="shared" ca="1" si="1"/>
        <v>44409</v>
      </c>
      <c r="N6" s="3">
        <v>2</v>
      </c>
      <c r="O6" s="3" t="s">
        <v>467</v>
      </c>
      <c r="P6" s="3"/>
      <c r="Q6" s="3">
        <f ca="1">YEAR(Tabla3[[#This Row],[Fecha Comité Ejec. Proy.]])</f>
        <v>2021</v>
      </c>
      <c r="R6" s="3">
        <f ca="1">Tabla3[[#This Row],[Año Inicio Planificado]] + 2</f>
        <v>2023</v>
      </c>
      <c r="S6" s="3">
        <f t="shared" ca="1" si="2"/>
        <v>1</v>
      </c>
      <c r="T6" s="14"/>
      <c r="U6" s="33"/>
      <c r="V6" s="3" t="s">
        <v>469</v>
      </c>
      <c r="W6" s="3"/>
      <c r="X6" s="3"/>
      <c r="Y6" s="15"/>
      <c r="Z6" s="15"/>
      <c r="AA6" s="17">
        <v>0</v>
      </c>
      <c r="AB6" s="17">
        <v>0</v>
      </c>
      <c r="AC6" s="25" t="e">
        <f>Tabla3[[#This Row],[% Avance ejecutado]]-Tabla3[[#This Row],[% Avance Planificado]]/Tabla3[[#This Row],[% Avance Planificado]]</f>
        <v>#DIV/0!</v>
      </c>
      <c r="AD6" s="164" t="s">
        <v>33</v>
      </c>
      <c r="AE6" s="19"/>
    </row>
    <row r="7" spans="1:31" ht="49.9" customHeight="1" x14ac:dyDescent="0.25">
      <c r="A7" s="14">
        <v>5</v>
      </c>
      <c r="B7" s="4"/>
      <c r="C7" s="6" t="s">
        <v>430</v>
      </c>
      <c r="D7" s="6"/>
      <c r="E7" s="3" t="s">
        <v>301</v>
      </c>
      <c r="F7" s="3" t="s">
        <v>307</v>
      </c>
      <c r="G7" s="3" t="s">
        <v>348</v>
      </c>
      <c r="H7" s="3" t="s">
        <v>389</v>
      </c>
      <c r="I7" s="16">
        <f t="shared" ca="1" si="0"/>
        <v>42718</v>
      </c>
      <c r="J7" s="141"/>
      <c r="K7" s="141"/>
      <c r="L7" s="141"/>
      <c r="M7" s="15">
        <f t="shared" ca="1" si="1"/>
        <v>45887</v>
      </c>
      <c r="N7" s="3">
        <v>2</v>
      </c>
      <c r="O7" s="3" t="s">
        <v>467</v>
      </c>
      <c r="P7" s="3"/>
      <c r="Q7" s="3">
        <f ca="1">YEAR(Tabla3[[#This Row],[Fecha Comité Ejec. Proy.]])</f>
        <v>2025</v>
      </c>
      <c r="R7" s="3">
        <f ca="1">Tabla3[[#This Row],[Año Inicio Planificado]] + 2</f>
        <v>2027</v>
      </c>
      <c r="S7" s="3">
        <f t="shared" ca="1" si="2"/>
        <v>4</v>
      </c>
      <c r="T7" s="14"/>
      <c r="U7" s="103"/>
      <c r="V7" s="3" t="s">
        <v>469</v>
      </c>
      <c r="W7" s="3"/>
      <c r="X7" s="3"/>
      <c r="Y7" s="15"/>
      <c r="Z7" s="15"/>
      <c r="AA7" s="17">
        <v>0.88</v>
      </c>
      <c r="AB7" s="17">
        <v>0.85</v>
      </c>
      <c r="AC7" s="25">
        <f>Tabla3[[#This Row],[% Avance ejecutado]]-Tabla3[[#This Row],[% Avance Planificado]]/Tabla3[[#This Row],[% Avance Planificado]]</f>
        <v>-0.15000000000000002</v>
      </c>
      <c r="AD7" s="3" t="s">
        <v>37</v>
      </c>
      <c r="AE7" s="255"/>
    </row>
    <row r="8" spans="1:31" ht="49.9" customHeight="1" x14ac:dyDescent="0.25">
      <c r="A8" s="14">
        <v>6</v>
      </c>
      <c r="B8" s="4"/>
      <c r="C8" s="6" t="s">
        <v>431</v>
      </c>
      <c r="D8" s="6"/>
      <c r="E8" s="3" t="s">
        <v>301</v>
      </c>
      <c r="F8" s="3" t="s">
        <v>308</v>
      </c>
      <c r="G8" s="3" t="s">
        <v>349</v>
      </c>
      <c r="H8" s="3" t="s">
        <v>390</v>
      </c>
      <c r="I8" s="16">
        <f t="shared" ca="1" si="0"/>
        <v>47299</v>
      </c>
      <c r="J8" s="141"/>
      <c r="K8" s="141"/>
      <c r="L8" s="141"/>
      <c r="M8" s="15">
        <f t="shared" ca="1" si="1"/>
        <v>45106</v>
      </c>
      <c r="N8" s="3">
        <v>2.2000000000000002</v>
      </c>
      <c r="O8" s="3" t="s">
        <v>467</v>
      </c>
      <c r="P8" s="3"/>
      <c r="Q8" s="3">
        <f ca="1">YEAR(Tabla3[[#This Row],[Fecha Comité Ejec. Proy.]])</f>
        <v>2023</v>
      </c>
      <c r="R8" s="3">
        <f ca="1">Tabla3[[#This Row],[Año Inicio Planificado]] + 2</f>
        <v>2025</v>
      </c>
      <c r="S8" s="3">
        <f t="shared" ca="1" si="2"/>
        <v>3</v>
      </c>
      <c r="T8" s="14"/>
      <c r="U8" s="103"/>
      <c r="V8" s="3" t="s">
        <v>469</v>
      </c>
      <c r="W8" s="3"/>
      <c r="X8" s="3"/>
      <c r="Y8" s="15"/>
      <c r="Z8" s="15"/>
      <c r="AA8" s="17">
        <v>0.87</v>
      </c>
      <c r="AB8" s="17">
        <v>0.84</v>
      </c>
      <c r="AC8" s="25">
        <f>Tabla3[[#This Row],[% Avance ejecutado]]-Tabla3[[#This Row],[% Avance Planificado]]/Tabla3[[#This Row],[% Avance Planificado]]</f>
        <v>-0.16000000000000003</v>
      </c>
      <c r="AD8" s="3" t="s">
        <v>37</v>
      </c>
      <c r="AE8" s="255"/>
    </row>
    <row r="9" spans="1:31" ht="49.9" customHeight="1" x14ac:dyDescent="0.25">
      <c r="A9" s="14">
        <v>7</v>
      </c>
      <c r="B9" s="4"/>
      <c r="C9" s="6" t="s">
        <v>432</v>
      </c>
      <c r="D9" s="6"/>
      <c r="E9" s="3" t="s">
        <v>301</v>
      </c>
      <c r="F9" s="3" t="s">
        <v>309</v>
      </c>
      <c r="G9" s="3" t="s">
        <v>350</v>
      </c>
      <c r="H9" s="3" t="s">
        <v>391</v>
      </c>
      <c r="I9" s="16">
        <f t="shared" ca="1" si="0"/>
        <v>14855</v>
      </c>
      <c r="J9" s="141"/>
      <c r="K9" s="141"/>
      <c r="L9" s="141"/>
      <c r="M9" s="15">
        <f t="shared" ca="1" si="1"/>
        <v>45372</v>
      </c>
      <c r="N9" s="3">
        <v>2.4</v>
      </c>
      <c r="O9" s="3" t="s">
        <v>467</v>
      </c>
      <c r="P9" s="3"/>
      <c r="Q9" s="3">
        <f ca="1">YEAR(Tabla3[[#This Row],[Fecha Comité Ejec. Proy.]])</f>
        <v>2024</v>
      </c>
      <c r="R9" s="3">
        <f ca="1">Tabla3[[#This Row],[Año Inicio Planificado]] + 2</f>
        <v>2026</v>
      </c>
      <c r="S9" s="3">
        <f t="shared" ca="1" si="2"/>
        <v>2</v>
      </c>
      <c r="T9" s="14"/>
      <c r="U9" s="103"/>
      <c r="V9" s="3" t="s">
        <v>469</v>
      </c>
      <c r="W9" s="3"/>
      <c r="X9" s="3"/>
      <c r="Y9" s="15"/>
      <c r="Z9" s="15"/>
      <c r="AA9" s="17">
        <v>0.76</v>
      </c>
      <c r="AB9" s="17">
        <v>0.71</v>
      </c>
      <c r="AC9" s="25">
        <f>Tabla3[[#This Row],[% Avance ejecutado]]-Tabla3[[#This Row],[% Avance Planificado]]/Tabla3[[#This Row],[% Avance Planificado]]</f>
        <v>-0.29000000000000004</v>
      </c>
      <c r="AD9" s="3" t="s">
        <v>37</v>
      </c>
      <c r="AE9" s="255"/>
    </row>
    <row r="10" spans="1:31" ht="49.9" customHeight="1" x14ac:dyDescent="0.25">
      <c r="A10" s="14">
        <v>8</v>
      </c>
      <c r="B10" s="4"/>
      <c r="C10" s="6" t="s">
        <v>433</v>
      </c>
      <c r="D10" s="6"/>
      <c r="E10" s="3" t="s">
        <v>301</v>
      </c>
      <c r="F10" s="3" t="s">
        <v>310</v>
      </c>
      <c r="G10" s="3" t="s">
        <v>351</v>
      </c>
      <c r="H10" s="3" t="s">
        <v>392</v>
      </c>
      <c r="I10" s="16">
        <f t="shared" ca="1" si="0"/>
        <v>86061</v>
      </c>
      <c r="J10" s="16"/>
      <c r="K10" s="16"/>
      <c r="L10" s="16"/>
      <c r="M10" s="15">
        <f t="shared" ca="1" si="1"/>
        <v>45932</v>
      </c>
      <c r="N10" s="3">
        <v>2.6</v>
      </c>
      <c r="O10" s="3" t="s">
        <v>467</v>
      </c>
      <c r="P10" s="3"/>
      <c r="Q10" s="3">
        <f ca="1">YEAR(Tabla3[[#This Row],[Fecha Comité Ejec. Proy.]])</f>
        <v>2025</v>
      </c>
      <c r="R10" s="3">
        <f ca="1">Tabla3[[#This Row],[Año Inicio Planificado]] + 2</f>
        <v>2027</v>
      </c>
      <c r="S10" s="3">
        <f t="shared" ca="1" si="2"/>
        <v>4</v>
      </c>
      <c r="T10" s="14"/>
      <c r="U10" s="103"/>
      <c r="V10" s="3" t="s">
        <v>469</v>
      </c>
      <c r="W10" s="3"/>
      <c r="X10" s="3"/>
      <c r="Y10" s="15"/>
      <c r="Z10" s="15"/>
      <c r="AA10" s="17">
        <v>0.97</v>
      </c>
      <c r="AB10" s="17">
        <v>0.97</v>
      </c>
      <c r="AC10" s="25">
        <f>Tabla3[[#This Row],[% Avance ejecutado]]-Tabla3[[#This Row],[% Avance Planificado]]/Tabla3[[#This Row],[% Avance Planificado]]</f>
        <v>-3.0000000000000027E-2</v>
      </c>
      <c r="AD10" s="3" t="s">
        <v>37</v>
      </c>
      <c r="AE10" s="255"/>
    </row>
    <row r="11" spans="1:31" ht="49.9" customHeight="1" x14ac:dyDescent="0.25">
      <c r="A11" s="14">
        <v>9</v>
      </c>
      <c r="B11" s="4"/>
      <c r="C11" s="6" t="s">
        <v>434</v>
      </c>
      <c r="D11" s="6"/>
      <c r="E11" s="3" t="s">
        <v>301</v>
      </c>
      <c r="F11" s="3" t="s">
        <v>311</v>
      </c>
      <c r="G11" s="3" t="s">
        <v>352</v>
      </c>
      <c r="H11" s="3" t="s">
        <v>393</v>
      </c>
      <c r="I11" s="16">
        <f t="shared" ca="1" si="0"/>
        <v>24869</v>
      </c>
      <c r="J11" s="16"/>
      <c r="K11" s="16"/>
      <c r="L11" s="16"/>
      <c r="M11" s="15">
        <f t="shared" ca="1" si="1"/>
        <v>43848</v>
      </c>
      <c r="N11" s="3">
        <v>2.8</v>
      </c>
      <c r="O11" s="3" t="s">
        <v>467</v>
      </c>
      <c r="P11" s="3"/>
      <c r="Q11" s="3">
        <f ca="1">YEAR(Tabla3[[#This Row],[Fecha Comité Ejec. Proy.]])</f>
        <v>2020</v>
      </c>
      <c r="R11" s="3">
        <f ca="1">Tabla3[[#This Row],[Año Inicio Planificado]] + 2</f>
        <v>2022</v>
      </c>
      <c r="S11" s="3">
        <f t="shared" ca="1" si="2"/>
        <v>2</v>
      </c>
      <c r="T11" s="14"/>
      <c r="U11" s="103"/>
      <c r="V11" s="3" t="s">
        <v>469</v>
      </c>
      <c r="W11" s="3"/>
      <c r="X11" s="3"/>
      <c r="Y11" s="15"/>
      <c r="Z11" s="15"/>
      <c r="AA11" s="204"/>
      <c r="AB11" s="204"/>
      <c r="AC11" s="25" t="e">
        <f>Tabla3[[#This Row],[% Avance ejecutado]]-Tabla3[[#This Row],[% Avance Planificado]]/Tabla3[[#This Row],[% Avance Planificado]]</f>
        <v>#DIV/0!</v>
      </c>
      <c r="AD11" s="3" t="s">
        <v>37</v>
      </c>
      <c r="AE11" s="255"/>
    </row>
    <row r="12" spans="1:31" ht="49.9" customHeight="1" x14ac:dyDescent="0.25">
      <c r="A12" s="14">
        <v>10</v>
      </c>
      <c r="B12" s="4"/>
      <c r="C12" s="6" t="s">
        <v>435</v>
      </c>
      <c r="D12" s="6"/>
      <c r="E12" s="3" t="s">
        <v>301</v>
      </c>
      <c r="F12" s="3" t="s">
        <v>312</v>
      </c>
      <c r="G12" s="3" t="s">
        <v>353</v>
      </c>
      <c r="H12" s="3" t="s">
        <v>394</v>
      </c>
      <c r="I12" s="16">
        <f t="shared" ca="1" si="0"/>
        <v>3975</v>
      </c>
      <c r="J12" s="16"/>
      <c r="K12" s="16"/>
      <c r="L12" s="16"/>
      <c r="M12" s="15">
        <f t="shared" ca="1" si="1"/>
        <v>44450</v>
      </c>
      <c r="N12" s="3">
        <v>3</v>
      </c>
      <c r="O12" s="3" t="s">
        <v>467</v>
      </c>
      <c r="P12" s="3"/>
      <c r="Q12" s="3">
        <f ca="1">YEAR(Tabla3[[#This Row],[Fecha Comité Ejec. Proy.]])</f>
        <v>2021</v>
      </c>
      <c r="R12" s="3">
        <f ca="1">Tabla3[[#This Row],[Año Inicio Planificado]] + 2</f>
        <v>2023</v>
      </c>
      <c r="S12" s="3">
        <f t="shared" ca="1" si="2"/>
        <v>2</v>
      </c>
      <c r="T12" s="14"/>
      <c r="U12" s="103"/>
      <c r="V12" s="3" t="s">
        <v>469</v>
      </c>
      <c r="W12" s="3"/>
      <c r="X12" s="3"/>
      <c r="Y12" s="15"/>
      <c r="Z12" s="15"/>
      <c r="AA12" s="17">
        <v>1</v>
      </c>
      <c r="AB12" s="17">
        <v>1</v>
      </c>
      <c r="AC12" s="25">
        <f>Tabla3[[#This Row],[% Avance ejecutado]]-Tabla3[[#This Row],[% Avance Planificado]]/Tabla3[[#This Row],[% Avance Planificado]]</f>
        <v>0</v>
      </c>
      <c r="AD12" s="3" t="s">
        <v>44</v>
      </c>
      <c r="AE12" s="18"/>
    </row>
    <row r="13" spans="1:31" ht="49.9" customHeight="1" x14ac:dyDescent="0.25">
      <c r="A13" s="14">
        <v>11</v>
      </c>
      <c r="B13" s="3"/>
      <c r="C13" s="6" t="s">
        <v>436</v>
      </c>
      <c r="D13" s="6"/>
      <c r="E13" s="3" t="s">
        <v>301</v>
      </c>
      <c r="F13" s="3" t="s">
        <v>313</v>
      </c>
      <c r="G13" s="3" t="s">
        <v>354</v>
      </c>
      <c r="H13" s="3" t="s">
        <v>395</v>
      </c>
      <c r="I13" s="16">
        <f t="shared" ca="1" si="0"/>
        <v>52281</v>
      </c>
      <c r="J13" s="16"/>
      <c r="K13" s="16"/>
      <c r="L13" s="16"/>
      <c r="M13" s="15">
        <f t="shared" ca="1" si="1"/>
        <v>44282</v>
      </c>
      <c r="N13" s="3">
        <v>3.2</v>
      </c>
      <c r="O13" s="3" t="s">
        <v>467</v>
      </c>
      <c r="P13" s="3"/>
      <c r="Q13" s="3">
        <f ca="1">YEAR(Tabla3[[#This Row],[Fecha Comité Ejec. Proy.]])</f>
        <v>2021</v>
      </c>
      <c r="R13" s="3">
        <f ca="1">Tabla3[[#This Row],[Año Inicio Planificado]] + 2</f>
        <v>2023</v>
      </c>
      <c r="S13" s="3">
        <f t="shared" ca="1" si="2"/>
        <v>3</v>
      </c>
      <c r="T13" s="14"/>
      <c r="U13" s="33"/>
      <c r="V13" s="3" t="s">
        <v>469</v>
      </c>
      <c r="W13" s="3"/>
      <c r="X13" s="3"/>
      <c r="Y13" s="15"/>
      <c r="Z13" s="15"/>
      <c r="AA13" s="17">
        <v>1</v>
      </c>
      <c r="AB13" s="17">
        <v>1</v>
      </c>
      <c r="AC13" s="25">
        <f>Tabla3[[#This Row],[% Avance ejecutado]]-Tabla3[[#This Row],[% Avance Planificado]]/Tabla3[[#This Row],[% Avance Planificado]]</f>
        <v>0</v>
      </c>
      <c r="AD13" s="3" t="s">
        <v>44</v>
      </c>
      <c r="AE13" s="18"/>
    </row>
    <row r="14" spans="1:31" ht="49.9" customHeight="1" x14ac:dyDescent="0.25">
      <c r="A14" s="14">
        <v>12</v>
      </c>
      <c r="B14" s="237"/>
      <c r="C14" s="6" t="s">
        <v>437</v>
      </c>
      <c r="D14" s="6"/>
      <c r="E14" s="3" t="s">
        <v>301</v>
      </c>
      <c r="F14" s="3" t="s">
        <v>314</v>
      </c>
      <c r="G14" s="3" t="s">
        <v>355</v>
      </c>
      <c r="H14" s="3" t="s">
        <v>396</v>
      </c>
      <c r="I14" s="16">
        <f t="shared" ca="1" si="0"/>
        <v>27557</v>
      </c>
      <c r="J14" s="16"/>
      <c r="K14" s="16"/>
      <c r="L14" s="16"/>
      <c r="M14" s="15">
        <f t="shared" ca="1" si="1"/>
        <v>45056</v>
      </c>
      <c r="N14" s="3">
        <v>3.4</v>
      </c>
      <c r="O14" s="3" t="s">
        <v>467</v>
      </c>
      <c r="P14" s="3"/>
      <c r="Q14" s="3">
        <f ca="1">YEAR(Tabla3[[#This Row],[Fecha Comité Ejec. Proy.]])</f>
        <v>2023</v>
      </c>
      <c r="R14" s="3">
        <f ca="1">Tabla3[[#This Row],[Año Inicio Planificado]] + 2</f>
        <v>2025</v>
      </c>
      <c r="S14" s="3">
        <f t="shared" ca="1" si="2"/>
        <v>4</v>
      </c>
      <c r="T14" s="14"/>
      <c r="U14" s="33"/>
      <c r="V14" s="3" t="s">
        <v>469</v>
      </c>
      <c r="W14" s="3"/>
      <c r="X14" s="3"/>
      <c r="Y14" s="15"/>
      <c r="Z14" s="15"/>
      <c r="AA14" s="17">
        <v>1</v>
      </c>
      <c r="AB14" s="17">
        <v>1</v>
      </c>
      <c r="AC14" s="25">
        <f>Tabla3[[#This Row],[% Avance ejecutado]]-Tabla3[[#This Row],[% Avance Planificado]]/Tabla3[[#This Row],[% Avance Planificado]]</f>
        <v>0</v>
      </c>
      <c r="AD14" s="3" t="s">
        <v>44</v>
      </c>
      <c r="AE14" s="18"/>
    </row>
    <row r="15" spans="1:31" ht="49.9" customHeight="1" x14ac:dyDescent="0.25">
      <c r="A15" s="14">
        <v>13</v>
      </c>
      <c r="B15" s="237"/>
      <c r="C15" s="6" t="s">
        <v>438</v>
      </c>
      <c r="D15" s="6"/>
      <c r="E15" s="3" t="s">
        <v>301</v>
      </c>
      <c r="F15" s="3" t="s">
        <v>315</v>
      </c>
      <c r="G15" s="3" t="s">
        <v>356</v>
      </c>
      <c r="H15" s="3" t="s">
        <v>397</v>
      </c>
      <c r="I15" s="16">
        <f t="shared" ca="1" si="0"/>
        <v>5578</v>
      </c>
      <c r="J15" s="16"/>
      <c r="K15" s="16"/>
      <c r="L15" s="16"/>
      <c r="M15" s="15">
        <f t="shared" ca="1" si="1"/>
        <v>46380</v>
      </c>
      <c r="N15" s="3">
        <v>3.6</v>
      </c>
      <c r="O15" s="3" t="s">
        <v>467</v>
      </c>
      <c r="P15" s="3"/>
      <c r="Q15" s="3">
        <f ca="1">YEAR(Tabla3[[#This Row],[Fecha Comité Ejec. Proy.]])</f>
        <v>2026</v>
      </c>
      <c r="R15" s="3">
        <f ca="1">Tabla3[[#This Row],[Año Inicio Planificado]] + 2</f>
        <v>2028</v>
      </c>
      <c r="S15" s="3">
        <f t="shared" ca="1" si="2"/>
        <v>1</v>
      </c>
      <c r="T15" s="14"/>
      <c r="U15" s="33"/>
      <c r="V15" s="3" t="s">
        <v>469</v>
      </c>
      <c r="W15" s="3"/>
      <c r="X15" s="3"/>
      <c r="Y15" s="15"/>
      <c r="Z15" s="15"/>
      <c r="AA15" s="17">
        <v>0.44</v>
      </c>
      <c r="AB15" s="17">
        <v>0.4</v>
      </c>
      <c r="AC15" s="25">
        <f>Tabla3[[#This Row],[% Avance ejecutado]]-Tabla3[[#This Row],[% Avance Planificado]]/Tabla3[[#This Row],[% Avance Planificado]]</f>
        <v>-0.6</v>
      </c>
      <c r="AD15" s="164" t="s">
        <v>33</v>
      </c>
      <c r="AE15" s="166"/>
    </row>
    <row r="16" spans="1:31" ht="49.9" customHeight="1" x14ac:dyDescent="0.25">
      <c r="A16" s="14">
        <v>14</v>
      </c>
      <c r="B16" s="237"/>
      <c r="C16" s="6" t="s">
        <v>439</v>
      </c>
      <c r="D16" s="6"/>
      <c r="E16" s="3" t="s">
        <v>301</v>
      </c>
      <c r="F16" s="3" t="s">
        <v>316</v>
      </c>
      <c r="G16" s="3" t="s">
        <v>357</v>
      </c>
      <c r="H16" s="3" t="s">
        <v>398</v>
      </c>
      <c r="I16" s="16">
        <f t="shared" ca="1" si="0"/>
        <v>4467</v>
      </c>
      <c r="J16" s="16"/>
      <c r="K16" s="16"/>
      <c r="L16" s="16"/>
      <c r="M16" s="15">
        <f t="shared" ca="1" si="1"/>
        <v>43866</v>
      </c>
      <c r="N16" s="3">
        <v>3.8</v>
      </c>
      <c r="O16" s="3" t="s">
        <v>467</v>
      </c>
      <c r="P16" s="3"/>
      <c r="Q16" s="3">
        <f ca="1">YEAR(Tabla3[[#This Row],[Fecha Comité Ejec. Proy.]])</f>
        <v>2020</v>
      </c>
      <c r="R16" s="3">
        <f ca="1">Tabla3[[#This Row],[Año Inicio Planificado]] + 2</f>
        <v>2022</v>
      </c>
      <c r="S16" s="3">
        <f t="shared" ca="1" si="2"/>
        <v>2</v>
      </c>
      <c r="T16" s="14"/>
      <c r="U16" s="33"/>
      <c r="V16" s="3" t="s">
        <v>469</v>
      </c>
      <c r="W16" s="3"/>
      <c r="X16" s="3"/>
      <c r="Y16" s="15"/>
      <c r="Z16" s="15"/>
      <c r="AA16" s="17">
        <v>1</v>
      </c>
      <c r="AB16" s="17">
        <v>1</v>
      </c>
      <c r="AC16" s="25">
        <f>Tabla3[[#This Row],[% Avance ejecutado]]-Tabla3[[#This Row],[% Avance Planificado]]/Tabla3[[#This Row],[% Avance Planificado]]</f>
        <v>0</v>
      </c>
      <c r="AD16" s="3" t="s">
        <v>44</v>
      </c>
      <c r="AE16" s="18"/>
    </row>
    <row r="17" spans="1:31" ht="49.9" customHeight="1" x14ac:dyDescent="0.25">
      <c r="A17" s="14">
        <v>15</v>
      </c>
      <c r="B17" s="4"/>
      <c r="C17" s="6" t="s">
        <v>440</v>
      </c>
      <c r="D17" s="6"/>
      <c r="E17" s="3" t="s">
        <v>301</v>
      </c>
      <c r="F17" s="3" t="s">
        <v>317</v>
      </c>
      <c r="G17" s="3" t="s">
        <v>358</v>
      </c>
      <c r="H17" s="3" t="s">
        <v>399</v>
      </c>
      <c r="I17" s="16">
        <f t="shared" ca="1" si="0"/>
        <v>40631</v>
      </c>
      <c r="J17" s="16"/>
      <c r="K17" s="16"/>
      <c r="L17" s="16"/>
      <c r="M17" s="15">
        <f t="shared" ca="1" si="1"/>
        <v>44054</v>
      </c>
      <c r="N17" s="3">
        <v>4</v>
      </c>
      <c r="O17" s="3" t="s">
        <v>467</v>
      </c>
      <c r="P17" s="3"/>
      <c r="Q17" s="3">
        <f ca="1">YEAR(Tabla3[[#This Row],[Fecha Comité Ejec. Proy.]])</f>
        <v>2020</v>
      </c>
      <c r="R17" s="3">
        <f ca="1">Tabla3[[#This Row],[Año Inicio Planificado]] + 2</f>
        <v>2022</v>
      </c>
      <c r="S17" s="3">
        <f t="shared" ca="1" si="2"/>
        <v>3</v>
      </c>
      <c r="T17" s="14"/>
      <c r="U17" s="103"/>
      <c r="V17" s="3" t="s">
        <v>470</v>
      </c>
      <c r="W17" s="3"/>
      <c r="X17" s="3"/>
      <c r="Y17" s="15"/>
      <c r="Z17" s="15"/>
      <c r="AA17" s="17">
        <v>1</v>
      </c>
      <c r="AB17" s="17">
        <v>1</v>
      </c>
      <c r="AC17" s="25">
        <f>Tabla3[[#This Row],[% Avance ejecutado]]-Tabla3[[#This Row],[% Avance Planificado]]/Tabla3[[#This Row],[% Avance Planificado]]</f>
        <v>0</v>
      </c>
      <c r="AD17" s="3" t="s">
        <v>44</v>
      </c>
      <c r="AE17" s="255"/>
    </row>
    <row r="18" spans="1:31" ht="49.9" customHeight="1" x14ac:dyDescent="0.25">
      <c r="A18" s="14">
        <v>16</v>
      </c>
      <c r="B18" s="4"/>
      <c r="C18" s="6" t="s">
        <v>441</v>
      </c>
      <c r="D18" s="6"/>
      <c r="E18" s="3" t="s">
        <v>301</v>
      </c>
      <c r="F18" s="3" t="s">
        <v>318</v>
      </c>
      <c r="G18" s="3" t="s">
        <v>359</v>
      </c>
      <c r="H18" s="3" t="s">
        <v>400</v>
      </c>
      <c r="I18" s="16">
        <f t="shared" ca="1" si="0"/>
        <v>47889</v>
      </c>
      <c r="J18" s="16"/>
      <c r="K18" s="16"/>
      <c r="L18" s="16"/>
      <c r="M18" s="15">
        <f t="shared" ca="1" si="1"/>
        <v>43933</v>
      </c>
      <c r="N18" s="3">
        <v>4.2</v>
      </c>
      <c r="O18" s="3" t="s">
        <v>467</v>
      </c>
      <c r="P18" s="3"/>
      <c r="Q18" s="3">
        <f ca="1">YEAR(Tabla3[[#This Row],[Fecha Comité Ejec. Proy.]])</f>
        <v>2020</v>
      </c>
      <c r="R18" s="3">
        <f ca="1">Tabla3[[#This Row],[Año Inicio Planificado]] + 2</f>
        <v>2022</v>
      </c>
      <c r="S18" s="3">
        <f t="shared" ca="1" si="2"/>
        <v>2</v>
      </c>
      <c r="T18" s="14"/>
      <c r="U18" s="33"/>
      <c r="V18" s="3" t="s">
        <v>470</v>
      </c>
      <c r="W18" s="35"/>
      <c r="X18" s="3"/>
      <c r="Y18" s="15"/>
      <c r="Z18" s="15"/>
      <c r="AA18" s="17">
        <v>0.56000000000000005</v>
      </c>
      <c r="AB18" s="17">
        <v>0.47</v>
      </c>
      <c r="AC18" s="25">
        <f>Tabla3[[#This Row],[% Avance ejecutado]]-Tabla3[[#This Row],[% Avance Planificado]]/Tabla3[[#This Row],[% Avance Planificado]]</f>
        <v>-0.53</v>
      </c>
      <c r="AD18" s="3" t="s">
        <v>37</v>
      </c>
      <c r="AE18" s="255"/>
    </row>
    <row r="19" spans="1:31" ht="49.9" customHeight="1" x14ac:dyDescent="0.25">
      <c r="A19" s="14">
        <v>17</v>
      </c>
      <c r="B19" s="3"/>
      <c r="C19" s="6" t="s">
        <v>442</v>
      </c>
      <c r="D19" s="6"/>
      <c r="E19" s="3" t="s">
        <v>301</v>
      </c>
      <c r="F19" s="3" t="s">
        <v>319</v>
      </c>
      <c r="G19" s="3" t="s">
        <v>360</v>
      </c>
      <c r="H19" s="3" t="s">
        <v>401</v>
      </c>
      <c r="I19" s="16">
        <f t="shared" ca="1" si="0"/>
        <v>43642</v>
      </c>
      <c r="J19" s="16"/>
      <c r="K19" s="16"/>
      <c r="L19" s="16"/>
      <c r="M19" s="15">
        <f t="shared" ca="1" si="1"/>
        <v>44334</v>
      </c>
      <c r="N19" s="3">
        <v>4.4000000000000004</v>
      </c>
      <c r="O19" s="3" t="s">
        <v>467</v>
      </c>
      <c r="P19" s="3"/>
      <c r="Q19" s="3">
        <f ca="1">YEAR(Tabla3[[#This Row],[Fecha Comité Ejec. Proy.]])</f>
        <v>2021</v>
      </c>
      <c r="R19" s="3">
        <f ca="1">Tabla3[[#This Row],[Año Inicio Planificado]] + 2</f>
        <v>2023</v>
      </c>
      <c r="S19" s="3">
        <f t="shared" ca="1" si="2"/>
        <v>3</v>
      </c>
      <c r="T19" s="14"/>
      <c r="U19" s="14"/>
      <c r="V19" s="3" t="s">
        <v>470</v>
      </c>
      <c r="W19" s="3"/>
      <c r="X19" s="3"/>
      <c r="Y19" s="15"/>
      <c r="Z19" s="15"/>
      <c r="AA19" s="17">
        <v>0.71</v>
      </c>
      <c r="AB19" s="17">
        <v>0.6</v>
      </c>
      <c r="AC19" s="25">
        <f>Tabla3[[#This Row],[% Avance ejecutado]]-Tabla3[[#This Row],[% Avance Planificado]]/Tabla3[[#This Row],[% Avance Planificado]]</f>
        <v>-0.4</v>
      </c>
      <c r="AD19" s="3" t="s">
        <v>33</v>
      </c>
      <c r="AE19" s="233"/>
    </row>
    <row r="20" spans="1:31" ht="49.9" customHeight="1" x14ac:dyDescent="0.25">
      <c r="A20" s="14">
        <v>18</v>
      </c>
      <c r="B20" s="3"/>
      <c r="C20" s="6" t="s">
        <v>443</v>
      </c>
      <c r="D20" s="6"/>
      <c r="E20" s="3" t="s">
        <v>301</v>
      </c>
      <c r="F20" s="3" t="s">
        <v>320</v>
      </c>
      <c r="G20" s="3" t="s">
        <v>361</v>
      </c>
      <c r="H20" s="3" t="s">
        <v>402</v>
      </c>
      <c r="I20" s="16">
        <f t="shared" ca="1" si="0"/>
        <v>75723</v>
      </c>
      <c r="J20" s="16"/>
      <c r="K20" s="16"/>
      <c r="L20" s="16"/>
      <c r="M20" s="15">
        <f t="shared" ca="1" si="1"/>
        <v>44596</v>
      </c>
      <c r="N20" s="3">
        <v>4.5999999999999996</v>
      </c>
      <c r="O20" s="3" t="s">
        <v>467</v>
      </c>
      <c r="P20" s="3"/>
      <c r="Q20" s="3">
        <f ca="1">YEAR(Tabla3[[#This Row],[Fecha Comité Ejec. Proy.]])</f>
        <v>2022</v>
      </c>
      <c r="R20" s="3">
        <f ca="1">Tabla3[[#This Row],[Año Inicio Planificado]] + 2</f>
        <v>2024</v>
      </c>
      <c r="S20" s="3">
        <f t="shared" ca="1" si="2"/>
        <v>4</v>
      </c>
      <c r="T20" s="14"/>
      <c r="U20" s="14"/>
      <c r="V20" s="3" t="s">
        <v>470</v>
      </c>
      <c r="W20" s="3"/>
      <c r="X20" s="3"/>
      <c r="Y20" s="15"/>
      <c r="Z20" s="15"/>
      <c r="AA20" s="17">
        <v>1</v>
      </c>
      <c r="AB20" s="17">
        <v>1</v>
      </c>
      <c r="AC20" s="25">
        <f>Tabla3[[#This Row],[% Avance ejecutado]]-Tabla3[[#This Row],[% Avance Planificado]]/Tabla3[[#This Row],[% Avance Planificado]]</f>
        <v>0</v>
      </c>
      <c r="AD20" s="3" t="s">
        <v>44</v>
      </c>
      <c r="AE20" s="18"/>
    </row>
    <row r="21" spans="1:31" ht="49.9" customHeight="1" x14ac:dyDescent="0.25">
      <c r="A21" s="14">
        <v>19</v>
      </c>
      <c r="B21" s="237"/>
      <c r="C21" s="6" t="s">
        <v>444</v>
      </c>
      <c r="D21" s="6"/>
      <c r="E21" s="3" t="s">
        <v>301</v>
      </c>
      <c r="F21" s="3" t="s">
        <v>321</v>
      </c>
      <c r="G21" s="3" t="s">
        <v>362</v>
      </c>
      <c r="H21" s="3" t="s">
        <v>403</v>
      </c>
      <c r="I21" s="16">
        <f t="shared" ca="1" si="0"/>
        <v>92119</v>
      </c>
      <c r="J21" s="16"/>
      <c r="K21" s="16"/>
      <c r="L21" s="16"/>
      <c r="M21" s="15">
        <f t="shared" ca="1" si="1"/>
        <v>46279</v>
      </c>
      <c r="N21" s="3">
        <v>4.8</v>
      </c>
      <c r="O21" s="3" t="s">
        <v>467</v>
      </c>
      <c r="P21" s="3"/>
      <c r="Q21" s="3">
        <f ca="1">YEAR(Tabla3[[#This Row],[Fecha Comité Ejec. Proy.]])</f>
        <v>2026</v>
      </c>
      <c r="R21" s="3">
        <f ca="1">Tabla3[[#This Row],[Año Inicio Planificado]] + 2</f>
        <v>2028</v>
      </c>
      <c r="S21" s="3">
        <f t="shared" ca="1" si="2"/>
        <v>3</v>
      </c>
      <c r="T21" s="14"/>
      <c r="U21" s="33"/>
      <c r="V21" s="3" t="s">
        <v>470</v>
      </c>
      <c r="W21" s="3"/>
      <c r="X21" s="3"/>
      <c r="Y21" s="15"/>
      <c r="Z21" s="15"/>
      <c r="AA21" s="17">
        <v>0</v>
      </c>
      <c r="AB21" s="17">
        <v>0</v>
      </c>
      <c r="AC21" s="25" t="e">
        <f>Tabla3[[#This Row],[% Avance ejecutado]]-Tabla3[[#This Row],[% Avance Planificado]]/Tabla3[[#This Row],[% Avance Planificado]]</f>
        <v>#DIV/0!</v>
      </c>
      <c r="AD21" s="164" t="s">
        <v>44</v>
      </c>
      <c r="AE21" s="166"/>
    </row>
    <row r="22" spans="1:31" ht="49.9" customHeight="1" x14ac:dyDescent="0.25">
      <c r="A22" s="14">
        <v>20</v>
      </c>
      <c r="B22" s="237"/>
      <c r="C22" s="6" t="s">
        <v>445</v>
      </c>
      <c r="D22" s="6"/>
      <c r="E22" s="3" t="s">
        <v>301</v>
      </c>
      <c r="F22" s="3" t="s">
        <v>322</v>
      </c>
      <c r="G22" s="3" t="s">
        <v>363</v>
      </c>
      <c r="H22" s="3" t="s">
        <v>404</v>
      </c>
      <c r="I22" s="16">
        <f t="shared" ca="1" si="0"/>
        <v>4481</v>
      </c>
      <c r="J22" s="16"/>
      <c r="K22" s="16"/>
      <c r="L22" s="16"/>
      <c r="M22" s="15">
        <f t="shared" ca="1" si="1"/>
        <v>45483</v>
      </c>
      <c r="N22" s="3">
        <v>5</v>
      </c>
      <c r="O22" s="3" t="s">
        <v>467</v>
      </c>
      <c r="P22" s="3"/>
      <c r="Q22" s="3">
        <f ca="1">YEAR(Tabla3[[#This Row],[Fecha Comité Ejec. Proy.]])</f>
        <v>2024</v>
      </c>
      <c r="R22" s="3">
        <f ca="1">Tabla3[[#This Row],[Año Inicio Planificado]] + 2</f>
        <v>2026</v>
      </c>
      <c r="S22" s="3">
        <f t="shared" ca="1" si="2"/>
        <v>3</v>
      </c>
      <c r="T22" s="14"/>
      <c r="U22" s="33"/>
      <c r="V22" s="3" t="s">
        <v>470</v>
      </c>
      <c r="W22" s="3"/>
      <c r="X22" s="3"/>
      <c r="Y22" s="15"/>
      <c r="Z22" s="15"/>
      <c r="AA22" s="17">
        <v>1</v>
      </c>
      <c r="AB22" s="17">
        <v>1</v>
      </c>
      <c r="AC22" s="25">
        <f>Tabla3[[#This Row],[% Avance ejecutado]]-Tabla3[[#This Row],[% Avance Planificado]]/Tabla3[[#This Row],[% Avance Planificado]]</f>
        <v>0</v>
      </c>
      <c r="AD22" s="3" t="s">
        <v>44</v>
      </c>
      <c r="AE22" s="18"/>
    </row>
    <row r="23" spans="1:31" ht="49.9" customHeight="1" x14ac:dyDescent="0.25">
      <c r="A23" s="14">
        <v>21</v>
      </c>
      <c r="B23" s="237"/>
      <c r="C23" s="6" t="s">
        <v>446</v>
      </c>
      <c r="D23" s="6"/>
      <c r="E23" s="3" t="s">
        <v>301</v>
      </c>
      <c r="F23" s="3" t="s">
        <v>323</v>
      </c>
      <c r="G23" s="3" t="s">
        <v>364</v>
      </c>
      <c r="H23" s="3" t="s">
        <v>405</v>
      </c>
      <c r="I23" s="16">
        <f t="shared" ca="1" si="0"/>
        <v>19054</v>
      </c>
      <c r="J23" s="16"/>
      <c r="K23" s="16"/>
      <c r="L23" s="16"/>
      <c r="M23" s="15">
        <f t="shared" ca="1" si="1"/>
        <v>44080</v>
      </c>
      <c r="N23" s="3">
        <v>5.2</v>
      </c>
      <c r="O23" s="3" t="s">
        <v>467</v>
      </c>
      <c r="P23" s="3"/>
      <c r="Q23" s="3">
        <f ca="1">YEAR(Tabla3[[#This Row],[Fecha Comité Ejec. Proy.]])</f>
        <v>2020</v>
      </c>
      <c r="R23" s="3">
        <f ca="1">Tabla3[[#This Row],[Año Inicio Planificado]] + 2</f>
        <v>2022</v>
      </c>
      <c r="S23" s="3">
        <f t="shared" ca="1" si="2"/>
        <v>1</v>
      </c>
      <c r="T23" s="14"/>
      <c r="U23" s="33"/>
      <c r="V23" s="3" t="s">
        <v>470</v>
      </c>
      <c r="W23" s="3"/>
      <c r="X23" s="3"/>
      <c r="Y23" s="15"/>
      <c r="Z23" s="15"/>
      <c r="AA23" s="17">
        <v>1</v>
      </c>
      <c r="AB23" s="17">
        <v>1</v>
      </c>
      <c r="AC23" s="25">
        <f>Tabla3[[#This Row],[% Avance ejecutado]]-Tabla3[[#This Row],[% Avance Planificado]]/Tabla3[[#This Row],[% Avance Planificado]]</f>
        <v>0</v>
      </c>
      <c r="AD23" s="3" t="s">
        <v>44</v>
      </c>
      <c r="AE23" s="18"/>
    </row>
    <row r="24" spans="1:31" ht="49.9" customHeight="1" x14ac:dyDescent="0.25">
      <c r="A24" s="14">
        <v>22</v>
      </c>
      <c r="B24" s="237"/>
      <c r="C24" s="6" t="s">
        <v>447</v>
      </c>
      <c r="D24" s="6"/>
      <c r="E24" s="3" t="s">
        <v>302</v>
      </c>
      <c r="F24" s="3" t="s">
        <v>324</v>
      </c>
      <c r="G24" s="3" t="s">
        <v>365</v>
      </c>
      <c r="H24" s="3" t="s">
        <v>406</v>
      </c>
      <c r="I24" s="16">
        <f t="shared" ca="1" si="0"/>
        <v>80867</v>
      </c>
      <c r="J24" s="16"/>
      <c r="K24" s="16"/>
      <c r="L24" s="16"/>
      <c r="M24" s="15">
        <f t="shared" ca="1" si="1"/>
        <v>44662</v>
      </c>
      <c r="N24" s="3">
        <v>5.4</v>
      </c>
      <c r="O24" s="3" t="s">
        <v>467</v>
      </c>
      <c r="P24" s="3"/>
      <c r="Q24" s="3">
        <f ca="1">YEAR(Tabla3[[#This Row],[Fecha Comité Ejec. Proy.]])</f>
        <v>2022</v>
      </c>
      <c r="R24" s="3">
        <f ca="1">Tabla3[[#This Row],[Año Inicio Planificado]] + 2</f>
        <v>2024</v>
      </c>
      <c r="S24" s="3">
        <f t="shared" ca="1" si="2"/>
        <v>2</v>
      </c>
      <c r="T24" s="14"/>
      <c r="U24" s="33"/>
      <c r="V24" s="3" t="s">
        <v>470</v>
      </c>
      <c r="W24" s="3"/>
      <c r="X24" s="3"/>
      <c r="Y24" s="15"/>
      <c r="Z24" s="15"/>
      <c r="AA24" s="17">
        <v>1</v>
      </c>
      <c r="AB24" s="17">
        <v>1</v>
      </c>
      <c r="AC24" s="25">
        <f>Tabla3[[#This Row],[% Avance ejecutado]]-Tabla3[[#This Row],[% Avance Planificado]]/Tabla3[[#This Row],[% Avance Planificado]]</f>
        <v>0</v>
      </c>
      <c r="AD24" s="3" t="s">
        <v>44</v>
      </c>
      <c r="AE24" s="18"/>
    </row>
    <row r="25" spans="1:31" ht="49.9" customHeight="1" x14ac:dyDescent="0.25">
      <c r="A25" s="14">
        <v>23</v>
      </c>
      <c r="B25" s="237"/>
      <c r="C25" s="6" t="s">
        <v>448</v>
      </c>
      <c r="D25" s="6"/>
      <c r="E25" s="3" t="s">
        <v>302</v>
      </c>
      <c r="F25" s="3" t="s">
        <v>325</v>
      </c>
      <c r="G25" s="3" t="s">
        <v>366</v>
      </c>
      <c r="H25" s="3" t="s">
        <v>407</v>
      </c>
      <c r="I25" s="16">
        <f t="shared" ca="1" si="0"/>
        <v>46019</v>
      </c>
      <c r="J25" s="16"/>
      <c r="K25" s="16"/>
      <c r="L25" s="16"/>
      <c r="M25" s="15">
        <f t="shared" ca="1" si="1"/>
        <v>45327</v>
      </c>
      <c r="N25" s="3">
        <v>5.6</v>
      </c>
      <c r="O25" s="3" t="s">
        <v>467</v>
      </c>
      <c r="P25" s="3"/>
      <c r="Q25" s="3">
        <f ca="1">YEAR(Tabla3[[#This Row],[Fecha Comité Ejec. Proy.]])</f>
        <v>2024</v>
      </c>
      <c r="R25" s="3">
        <f ca="1">Tabla3[[#This Row],[Año Inicio Planificado]] + 2</f>
        <v>2026</v>
      </c>
      <c r="S25" s="3">
        <f t="shared" ca="1" si="2"/>
        <v>4</v>
      </c>
      <c r="T25" s="14"/>
      <c r="U25" s="33"/>
      <c r="V25" s="3" t="s">
        <v>470</v>
      </c>
      <c r="W25" s="3"/>
      <c r="X25" s="3"/>
      <c r="Y25" s="15"/>
      <c r="Z25" s="15"/>
      <c r="AA25" s="17">
        <v>1</v>
      </c>
      <c r="AB25" s="17">
        <v>1</v>
      </c>
      <c r="AC25" s="25">
        <f>Tabla3[[#This Row],[% Avance ejecutado]]-Tabla3[[#This Row],[% Avance Planificado]]/Tabla3[[#This Row],[% Avance Planificado]]</f>
        <v>0</v>
      </c>
      <c r="AD25" s="3" t="s">
        <v>44</v>
      </c>
      <c r="AE25" s="18"/>
    </row>
    <row r="26" spans="1:31" ht="49.9" customHeight="1" x14ac:dyDescent="0.25">
      <c r="A26" s="14">
        <v>24</v>
      </c>
      <c r="B26" s="237"/>
      <c r="C26" s="6" t="s">
        <v>449</v>
      </c>
      <c r="D26" s="6"/>
      <c r="E26" s="3" t="s">
        <v>302</v>
      </c>
      <c r="F26" s="3" t="s">
        <v>326</v>
      </c>
      <c r="G26" s="3" t="s">
        <v>367</v>
      </c>
      <c r="H26" s="3" t="s">
        <v>408</v>
      </c>
      <c r="I26" s="16">
        <f t="shared" ca="1" si="0"/>
        <v>82578</v>
      </c>
      <c r="J26" s="16"/>
      <c r="K26" s="16"/>
      <c r="L26" s="16"/>
      <c r="M26" s="15">
        <f t="shared" ca="1" si="1"/>
        <v>45656</v>
      </c>
      <c r="N26" s="3">
        <v>5.8</v>
      </c>
      <c r="O26" s="3" t="s">
        <v>467</v>
      </c>
      <c r="P26" s="3"/>
      <c r="Q26" s="3">
        <f ca="1">YEAR(Tabla3[[#This Row],[Fecha Comité Ejec. Proy.]])</f>
        <v>2024</v>
      </c>
      <c r="R26" s="3">
        <f ca="1">Tabla3[[#This Row],[Año Inicio Planificado]] + 2</f>
        <v>2026</v>
      </c>
      <c r="S26" s="3">
        <f t="shared" ca="1" si="2"/>
        <v>2</v>
      </c>
      <c r="T26" s="14"/>
      <c r="U26" s="14"/>
      <c r="V26" s="3" t="s">
        <v>470</v>
      </c>
      <c r="W26" s="3"/>
      <c r="X26" s="3"/>
      <c r="Y26" s="15"/>
      <c r="Z26" s="15"/>
      <c r="AA26" s="17">
        <v>0</v>
      </c>
      <c r="AB26" s="17">
        <v>0</v>
      </c>
      <c r="AC26" s="25" t="e">
        <f>Tabla3[[#This Row],[% Avance ejecutado]]-Tabla3[[#This Row],[% Avance Planificado]]/Tabla3[[#This Row],[% Avance Planificado]]</f>
        <v>#DIV/0!</v>
      </c>
      <c r="AD26" s="164" t="s">
        <v>47</v>
      </c>
      <c r="AE26" s="166"/>
    </row>
    <row r="27" spans="1:31" ht="49.9" customHeight="1" x14ac:dyDescent="0.25">
      <c r="A27" s="14">
        <v>25</v>
      </c>
      <c r="B27" s="237"/>
      <c r="C27" s="6" t="s">
        <v>450</v>
      </c>
      <c r="D27" s="6"/>
      <c r="E27" s="3" t="s">
        <v>302</v>
      </c>
      <c r="F27" s="3" t="s">
        <v>327</v>
      </c>
      <c r="G27" s="3" t="s">
        <v>368</v>
      </c>
      <c r="H27" s="3" t="s">
        <v>409</v>
      </c>
      <c r="I27" s="16">
        <f t="shared" ca="1" si="0"/>
        <v>66787</v>
      </c>
      <c r="J27" s="16"/>
      <c r="K27" s="16"/>
      <c r="L27" s="16"/>
      <c r="M27" s="15">
        <f t="shared" ca="1" si="1"/>
        <v>46122</v>
      </c>
      <c r="N27" s="3">
        <v>6</v>
      </c>
      <c r="O27" s="3" t="s">
        <v>467</v>
      </c>
      <c r="P27" s="3"/>
      <c r="Q27" s="3">
        <f ca="1">YEAR(Tabla3[[#This Row],[Fecha Comité Ejec. Proy.]])</f>
        <v>2026</v>
      </c>
      <c r="R27" s="3">
        <f ca="1">Tabla3[[#This Row],[Año Inicio Planificado]] + 2</f>
        <v>2028</v>
      </c>
      <c r="S27" s="3">
        <f t="shared" ca="1" si="2"/>
        <v>3</v>
      </c>
      <c r="T27" s="14"/>
      <c r="U27" s="14"/>
      <c r="V27" s="3" t="s">
        <v>470</v>
      </c>
      <c r="W27" s="3"/>
      <c r="X27" s="3"/>
      <c r="Y27" s="15"/>
      <c r="Z27" s="15"/>
      <c r="AA27" s="17">
        <v>0</v>
      </c>
      <c r="AB27" s="17">
        <v>0</v>
      </c>
      <c r="AC27" s="25" t="e">
        <f>Tabla3[[#This Row],[% Avance ejecutado]]-Tabla3[[#This Row],[% Avance Planificado]]/Tabla3[[#This Row],[% Avance Planificado]]</f>
        <v>#DIV/0!</v>
      </c>
      <c r="AD27" s="164" t="s">
        <v>47</v>
      </c>
      <c r="AE27" s="166"/>
    </row>
    <row r="28" spans="1:31" ht="49.9" customHeight="1" x14ac:dyDescent="0.25">
      <c r="A28" s="14">
        <v>26</v>
      </c>
      <c r="B28" s="237"/>
      <c r="C28" s="6" t="s">
        <v>451</v>
      </c>
      <c r="D28" s="6"/>
      <c r="E28" s="3" t="s">
        <v>302</v>
      </c>
      <c r="F28" s="3" t="s">
        <v>328</v>
      </c>
      <c r="G28" s="3" t="s">
        <v>369</v>
      </c>
      <c r="H28" s="3" t="s">
        <v>410</v>
      </c>
      <c r="I28" s="16">
        <f t="shared" ca="1" si="0"/>
        <v>89332</v>
      </c>
      <c r="J28" s="16"/>
      <c r="K28" s="16"/>
      <c r="L28" s="16"/>
      <c r="M28" s="15">
        <f t="shared" ca="1" si="1"/>
        <v>45598</v>
      </c>
      <c r="N28" s="3">
        <v>6.2</v>
      </c>
      <c r="O28" s="3" t="s">
        <v>467</v>
      </c>
      <c r="P28" s="3"/>
      <c r="Q28" s="3">
        <f ca="1">YEAR(Tabla3[[#This Row],[Fecha Comité Ejec. Proy.]])</f>
        <v>2024</v>
      </c>
      <c r="R28" s="3">
        <f ca="1">Tabla3[[#This Row],[Año Inicio Planificado]] + 2</f>
        <v>2026</v>
      </c>
      <c r="S28" s="3">
        <f t="shared" ca="1" si="2"/>
        <v>3</v>
      </c>
      <c r="T28" s="14"/>
      <c r="U28" s="33"/>
      <c r="V28" s="3" t="s">
        <v>470</v>
      </c>
      <c r="W28" s="3"/>
      <c r="X28" s="3"/>
      <c r="Y28" s="15"/>
      <c r="Z28" s="15"/>
      <c r="AA28" s="17">
        <v>1</v>
      </c>
      <c r="AB28" s="17">
        <v>1</v>
      </c>
      <c r="AC28" s="25">
        <f>Tabla3[[#This Row],[% Avance ejecutado]]-Tabla3[[#This Row],[% Avance Planificado]]/Tabla3[[#This Row],[% Avance Planificado]]</f>
        <v>0</v>
      </c>
      <c r="AD28" s="3" t="s">
        <v>44</v>
      </c>
      <c r="AE28" s="18"/>
    </row>
    <row r="29" spans="1:31" ht="49.9" customHeight="1" x14ac:dyDescent="0.25">
      <c r="A29" s="14">
        <v>27</v>
      </c>
      <c r="B29" s="237"/>
      <c r="C29" s="6" t="s">
        <v>452</v>
      </c>
      <c r="D29" s="6"/>
      <c r="E29" s="3" t="s">
        <v>302</v>
      </c>
      <c r="F29" s="3" t="s">
        <v>329</v>
      </c>
      <c r="G29" s="3" t="s">
        <v>370</v>
      </c>
      <c r="H29" s="3" t="s">
        <v>411</v>
      </c>
      <c r="I29" s="16">
        <f t="shared" ca="1" si="0"/>
        <v>4274</v>
      </c>
      <c r="J29" s="16"/>
      <c r="K29" s="16"/>
      <c r="L29" s="16"/>
      <c r="M29" s="15">
        <f t="shared" ca="1" si="1"/>
        <v>44484</v>
      </c>
      <c r="N29" s="3">
        <v>6.4</v>
      </c>
      <c r="O29" s="3" t="s">
        <v>468</v>
      </c>
      <c r="P29" s="3"/>
      <c r="Q29" s="3">
        <f ca="1">YEAR(Tabla3[[#This Row],[Fecha Comité Ejec. Proy.]])</f>
        <v>2021</v>
      </c>
      <c r="R29" s="3">
        <f ca="1">Tabla3[[#This Row],[Año Inicio Planificado]] + 2</f>
        <v>2023</v>
      </c>
      <c r="S29" s="3">
        <f t="shared" ca="1" si="2"/>
        <v>2</v>
      </c>
      <c r="T29" s="14"/>
      <c r="U29" s="14"/>
      <c r="V29" s="3" t="s">
        <v>470</v>
      </c>
      <c r="W29" s="3"/>
      <c r="X29" s="3"/>
      <c r="Y29" s="15"/>
      <c r="Z29" s="15"/>
      <c r="AA29" s="17">
        <v>1</v>
      </c>
      <c r="AB29" s="17">
        <v>1</v>
      </c>
      <c r="AC29" s="25">
        <f>Tabla3[[#This Row],[% Avance ejecutado]]-Tabla3[[#This Row],[% Avance Planificado]]/Tabla3[[#This Row],[% Avance Planificado]]</f>
        <v>0</v>
      </c>
      <c r="AD29" s="3" t="s">
        <v>44</v>
      </c>
      <c r="AE29" s="18"/>
    </row>
    <row r="30" spans="1:31" ht="49.9" customHeight="1" x14ac:dyDescent="0.25">
      <c r="A30" s="14">
        <v>28</v>
      </c>
      <c r="B30" s="237"/>
      <c r="C30" s="6" t="s">
        <v>453</v>
      </c>
      <c r="D30" s="6"/>
      <c r="E30" s="3" t="s">
        <v>302</v>
      </c>
      <c r="F30" s="3" t="s">
        <v>330</v>
      </c>
      <c r="G30" s="3" t="s">
        <v>371</v>
      </c>
      <c r="H30" s="3" t="s">
        <v>412</v>
      </c>
      <c r="I30" s="16">
        <f t="shared" ca="1" si="0"/>
        <v>18976</v>
      </c>
      <c r="J30" s="16"/>
      <c r="K30" s="16"/>
      <c r="L30" s="16"/>
      <c r="M30" s="15">
        <f t="shared" ca="1" si="1"/>
        <v>45679</v>
      </c>
      <c r="N30" s="3">
        <v>6.6</v>
      </c>
      <c r="O30" s="3" t="s">
        <v>468</v>
      </c>
      <c r="P30" s="3"/>
      <c r="Q30" s="3">
        <f ca="1">YEAR(Tabla3[[#This Row],[Fecha Comité Ejec. Proy.]])</f>
        <v>2025</v>
      </c>
      <c r="R30" s="3">
        <f ca="1">Tabla3[[#This Row],[Año Inicio Planificado]] + 2</f>
        <v>2027</v>
      </c>
      <c r="S30" s="3">
        <f t="shared" ca="1" si="2"/>
        <v>3</v>
      </c>
      <c r="T30" s="14"/>
      <c r="U30" s="14"/>
      <c r="V30" s="3" t="s">
        <v>470</v>
      </c>
      <c r="W30" s="3"/>
      <c r="X30" s="3"/>
      <c r="Y30" s="15"/>
      <c r="Z30" s="15"/>
      <c r="AA30" s="17">
        <v>1</v>
      </c>
      <c r="AB30" s="17">
        <v>1</v>
      </c>
      <c r="AC30" s="25">
        <f>Tabla3[[#This Row],[% Avance ejecutado]]-Tabla3[[#This Row],[% Avance Planificado]]/Tabla3[[#This Row],[% Avance Planificado]]</f>
        <v>0</v>
      </c>
      <c r="AD30" s="164" t="s">
        <v>33</v>
      </c>
      <c r="AE30" s="166"/>
    </row>
    <row r="31" spans="1:31" ht="49.9" customHeight="1" x14ac:dyDescent="0.25">
      <c r="A31" s="14">
        <v>29</v>
      </c>
      <c r="B31" s="237"/>
      <c r="C31" s="6" t="s">
        <v>454</v>
      </c>
      <c r="D31" s="6"/>
      <c r="E31" s="3" t="s">
        <v>302</v>
      </c>
      <c r="F31" s="3" t="s">
        <v>331</v>
      </c>
      <c r="G31" s="3" t="s">
        <v>372</v>
      </c>
      <c r="H31" s="3" t="s">
        <v>413</v>
      </c>
      <c r="I31" s="16">
        <f t="shared" ca="1" si="0"/>
        <v>65168</v>
      </c>
      <c r="J31" s="16"/>
      <c r="K31" s="16"/>
      <c r="L31" s="16"/>
      <c r="M31" s="15">
        <f t="shared" ca="1" si="1"/>
        <v>46083</v>
      </c>
      <c r="N31" s="3">
        <v>6.8</v>
      </c>
      <c r="O31" s="3" t="s">
        <v>468</v>
      </c>
      <c r="P31" s="3"/>
      <c r="Q31" s="3">
        <f ca="1">YEAR(Tabla3[[#This Row],[Fecha Comité Ejec. Proy.]])</f>
        <v>2026</v>
      </c>
      <c r="R31" s="3">
        <f ca="1">Tabla3[[#This Row],[Año Inicio Planificado]] + 2</f>
        <v>2028</v>
      </c>
      <c r="S31" s="3">
        <f t="shared" ca="1" si="2"/>
        <v>3</v>
      </c>
      <c r="T31" s="14"/>
      <c r="U31" s="33"/>
      <c r="V31" s="3" t="s">
        <v>470</v>
      </c>
      <c r="W31" s="3"/>
      <c r="X31" s="3"/>
      <c r="Y31" s="15"/>
      <c r="Z31" s="15"/>
      <c r="AA31" s="17">
        <v>1</v>
      </c>
      <c r="AB31" s="17">
        <v>1</v>
      </c>
      <c r="AC31" s="25">
        <f>Tabla3[[#This Row],[% Avance ejecutado]]-Tabla3[[#This Row],[% Avance Planificado]]/Tabla3[[#This Row],[% Avance Planificado]]</f>
        <v>0</v>
      </c>
      <c r="AD31" s="3" t="s">
        <v>44</v>
      </c>
      <c r="AE31" s="18"/>
    </row>
    <row r="32" spans="1:31" ht="49.9" customHeight="1" x14ac:dyDescent="0.25">
      <c r="A32" s="14">
        <v>30</v>
      </c>
      <c r="B32" s="3"/>
      <c r="C32" s="6" t="s">
        <v>455</v>
      </c>
      <c r="D32" s="6"/>
      <c r="E32" s="3" t="s">
        <v>302</v>
      </c>
      <c r="F32" s="3" t="s">
        <v>332</v>
      </c>
      <c r="G32" s="3" t="s">
        <v>373</v>
      </c>
      <c r="H32" s="3" t="s">
        <v>414</v>
      </c>
      <c r="I32" s="16">
        <f t="shared" ca="1" si="0"/>
        <v>29612</v>
      </c>
      <c r="J32" s="16"/>
      <c r="K32" s="16"/>
      <c r="L32" s="16"/>
      <c r="M32" s="15">
        <f t="shared" ca="1" si="1"/>
        <v>44928</v>
      </c>
      <c r="N32" s="3">
        <v>7</v>
      </c>
      <c r="O32" s="3" t="s">
        <v>468</v>
      </c>
      <c r="P32" s="3"/>
      <c r="Q32" s="3">
        <f ca="1">YEAR(Tabla3[[#This Row],[Fecha Comité Ejec. Proy.]])</f>
        <v>2023</v>
      </c>
      <c r="R32" s="3">
        <f ca="1">Tabla3[[#This Row],[Año Inicio Planificado]] + 2</f>
        <v>2025</v>
      </c>
      <c r="S32" s="3">
        <f t="shared" ca="1" si="2"/>
        <v>2</v>
      </c>
      <c r="T32" s="14"/>
      <c r="U32" s="14"/>
      <c r="V32" s="3" t="s">
        <v>470</v>
      </c>
      <c r="W32" s="3"/>
      <c r="X32" s="3"/>
      <c r="Y32" s="15"/>
      <c r="Z32" s="15"/>
      <c r="AA32" s="17">
        <v>0.87</v>
      </c>
      <c r="AB32" s="17">
        <v>0.93</v>
      </c>
      <c r="AC32" s="25">
        <f>Tabla3[[#This Row],[% Avance ejecutado]]-Tabla3[[#This Row],[% Avance Planificado]]/Tabla3[[#This Row],[% Avance Planificado]]</f>
        <v>-6.9999999999999951E-2</v>
      </c>
      <c r="AD32" s="3" t="s">
        <v>33</v>
      </c>
      <c r="AE32" s="255"/>
    </row>
    <row r="33" spans="1:31" ht="49.9" customHeight="1" x14ac:dyDescent="0.25">
      <c r="A33" s="14">
        <v>31</v>
      </c>
      <c r="B33" s="4"/>
      <c r="C33" s="6" t="s">
        <v>456</v>
      </c>
      <c r="D33" s="6"/>
      <c r="E33" s="3" t="s">
        <v>302</v>
      </c>
      <c r="F33" s="3" t="s">
        <v>333</v>
      </c>
      <c r="G33" s="3" t="s">
        <v>374</v>
      </c>
      <c r="H33" s="3" t="s">
        <v>415</v>
      </c>
      <c r="I33" s="16">
        <f t="shared" ca="1" si="0"/>
        <v>63616</v>
      </c>
      <c r="J33" s="16"/>
      <c r="K33" s="16"/>
      <c r="L33" s="16"/>
      <c r="M33" s="15">
        <f t="shared" ca="1" si="1"/>
        <v>43879</v>
      </c>
      <c r="N33" s="3">
        <v>7.2</v>
      </c>
      <c r="O33" s="3" t="s">
        <v>468</v>
      </c>
      <c r="P33" s="3"/>
      <c r="Q33" s="3">
        <f ca="1">YEAR(Tabla3[[#This Row],[Fecha Comité Ejec. Proy.]])</f>
        <v>2020</v>
      </c>
      <c r="R33" s="3">
        <f ca="1">Tabla3[[#This Row],[Año Inicio Planificado]] + 2</f>
        <v>2022</v>
      </c>
      <c r="S33" s="3">
        <f t="shared" ca="1" si="2"/>
        <v>2</v>
      </c>
      <c r="T33" s="14"/>
      <c r="U33" s="103"/>
      <c r="V33" s="3" t="s">
        <v>470</v>
      </c>
      <c r="W33" s="3"/>
      <c r="X33" s="3"/>
      <c r="Y33" s="15"/>
      <c r="Z33" s="15"/>
      <c r="AA33" s="17">
        <v>0.9</v>
      </c>
      <c r="AB33" s="17">
        <v>0.26</v>
      </c>
      <c r="AC33" s="25">
        <f>Tabla3[[#This Row],[% Avance ejecutado]]-Tabla3[[#This Row],[% Avance Planificado]]/Tabla3[[#This Row],[% Avance Planificado]]</f>
        <v>-0.74</v>
      </c>
      <c r="AD33" s="164" t="s">
        <v>33</v>
      </c>
      <c r="AE33" s="18"/>
    </row>
    <row r="34" spans="1:31" ht="49.9" customHeight="1" x14ac:dyDescent="0.25">
      <c r="A34" s="14">
        <v>32</v>
      </c>
      <c r="B34" s="4"/>
      <c r="C34" s="6" t="s">
        <v>457</v>
      </c>
      <c r="D34" s="6"/>
      <c r="E34" s="3" t="s">
        <v>302</v>
      </c>
      <c r="F34" s="3" t="s">
        <v>334</v>
      </c>
      <c r="G34" s="3" t="s">
        <v>375</v>
      </c>
      <c r="H34" s="3" t="s">
        <v>416</v>
      </c>
      <c r="I34" s="16">
        <f t="shared" ca="1" si="0"/>
        <v>88752</v>
      </c>
      <c r="J34" s="16"/>
      <c r="K34" s="16"/>
      <c r="L34" s="16"/>
      <c r="M34" s="15">
        <f t="shared" ca="1" si="1"/>
        <v>46355</v>
      </c>
      <c r="N34" s="3">
        <v>7.4</v>
      </c>
      <c r="O34" s="3" t="s">
        <v>468</v>
      </c>
      <c r="P34" s="3"/>
      <c r="Q34" s="3">
        <f ca="1">YEAR(Tabla3[[#This Row],[Fecha Comité Ejec. Proy.]])</f>
        <v>2026</v>
      </c>
      <c r="R34" s="3">
        <f ca="1">Tabla3[[#This Row],[Año Inicio Planificado]] + 2</f>
        <v>2028</v>
      </c>
      <c r="S34" s="3">
        <f t="shared" ca="1" si="2"/>
        <v>3</v>
      </c>
      <c r="T34" s="14"/>
      <c r="U34" s="103"/>
      <c r="V34" s="3" t="s">
        <v>470</v>
      </c>
      <c r="W34" s="3"/>
      <c r="X34" s="3"/>
      <c r="Y34" s="15"/>
      <c r="Z34" s="15"/>
      <c r="AA34" s="17">
        <v>0.86</v>
      </c>
      <c r="AB34" s="17">
        <v>0.84</v>
      </c>
      <c r="AC34" s="25">
        <f>Tabla3[[#This Row],[% Avance ejecutado]]-Tabla3[[#This Row],[% Avance Planificado]]/Tabla3[[#This Row],[% Avance Planificado]]</f>
        <v>-0.16000000000000003</v>
      </c>
      <c r="AD34" s="3" t="s">
        <v>33</v>
      </c>
      <c r="AE34" s="255"/>
    </row>
    <row r="35" spans="1:31" ht="80.25" customHeight="1" x14ac:dyDescent="0.25">
      <c r="A35" s="14">
        <v>33</v>
      </c>
      <c r="B35" s="4"/>
      <c r="C35" s="6" t="s">
        <v>458</v>
      </c>
      <c r="D35" s="6"/>
      <c r="E35" s="3" t="s">
        <v>302</v>
      </c>
      <c r="F35" s="3" t="s">
        <v>335</v>
      </c>
      <c r="G35" s="3" t="s">
        <v>376</v>
      </c>
      <c r="H35" s="3" t="s">
        <v>417</v>
      </c>
      <c r="I35" s="16">
        <f t="shared" ca="1" si="0"/>
        <v>86413</v>
      </c>
      <c r="J35" s="16"/>
      <c r="K35" s="16"/>
      <c r="L35" s="16"/>
      <c r="M35" s="15">
        <f t="shared" ca="1" si="1"/>
        <v>45332</v>
      </c>
      <c r="N35" s="3">
        <v>7.6</v>
      </c>
      <c r="O35" s="3" t="s">
        <v>468</v>
      </c>
      <c r="P35" s="3"/>
      <c r="Q35" s="3">
        <f ca="1">YEAR(Tabla3[[#This Row],[Fecha Comité Ejec. Proy.]])</f>
        <v>2024</v>
      </c>
      <c r="R35" s="3">
        <f ca="1">Tabla3[[#This Row],[Año Inicio Planificado]] + 2</f>
        <v>2026</v>
      </c>
      <c r="S35" s="3">
        <f t="shared" ca="1" si="2"/>
        <v>2</v>
      </c>
      <c r="T35" s="14"/>
      <c r="U35" s="103"/>
      <c r="V35" s="3" t="s">
        <v>470</v>
      </c>
      <c r="W35" s="3"/>
      <c r="X35" s="3"/>
      <c r="Y35" s="15"/>
      <c r="Z35" s="15"/>
      <c r="AA35" s="17">
        <v>0.52</v>
      </c>
      <c r="AB35" s="17">
        <v>0.36</v>
      </c>
      <c r="AC35" s="25">
        <f>Tabla3[[#This Row],[% Avance ejecutado]]-Tabla3[[#This Row],[% Avance Planificado]]/Tabla3[[#This Row],[% Avance Planificado]]</f>
        <v>-0.64</v>
      </c>
      <c r="AD35" s="3" t="s">
        <v>37</v>
      </c>
      <c r="AE35" s="255"/>
    </row>
    <row r="36" spans="1:31" ht="49.9" customHeight="1" x14ac:dyDescent="0.25">
      <c r="A36" s="14">
        <v>34</v>
      </c>
      <c r="B36" s="4"/>
      <c r="C36" s="6" t="s">
        <v>459</v>
      </c>
      <c r="D36" s="6"/>
      <c r="E36" s="3" t="s">
        <v>302</v>
      </c>
      <c r="F36" s="3" t="s">
        <v>336</v>
      </c>
      <c r="G36" s="3" t="s">
        <v>377</v>
      </c>
      <c r="H36" s="3" t="s">
        <v>418</v>
      </c>
      <c r="I36" s="16">
        <f t="shared" ca="1" si="0"/>
        <v>35005</v>
      </c>
      <c r="J36" s="16"/>
      <c r="K36" s="16"/>
      <c r="L36" s="16"/>
      <c r="M36" s="15">
        <f t="shared" ca="1" si="1"/>
        <v>45423</v>
      </c>
      <c r="N36" s="3">
        <v>7.8</v>
      </c>
      <c r="O36" s="3" t="s">
        <v>468</v>
      </c>
      <c r="P36" s="3"/>
      <c r="Q36" s="3">
        <f ca="1">YEAR(Tabla3[[#This Row],[Fecha Comité Ejec. Proy.]])</f>
        <v>2024</v>
      </c>
      <c r="R36" s="3">
        <f ca="1">Tabla3[[#This Row],[Año Inicio Planificado]] + 2</f>
        <v>2026</v>
      </c>
      <c r="S36" s="3">
        <f t="shared" ca="1" si="2"/>
        <v>2</v>
      </c>
      <c r="T36" s="14"/>
      <c r="U36" s="103"/>
      <c r="V36" s="3" t="s">
        <v>470</v>
      </c>
      <c r="W36" s="3"/>
      <c r="X36" s="3"/>
      <c r="Y36" s="15"/>
      <c r="Z36" s="15"/>
      <c r="AA36" s="17">
        <v>0.63</v>
      </c>
      <c r="AB36" s="17">
        <v>0.57999999999999996</v>
      </c>
      <c r="AC36" s="25">
        <f>Tabla3[[#This Row],[% Avance ejecutado]]-Tabla3[[#This Row],[% Avance Planificado]]/Tabla3[[#This Row],[% Avance Planificado]]</f>
        <v>-0.42000000000000004</v>
      </c>
      <c r="AD36" s="3" t="s">
        <v>37</v>
      </c>
      <c r="AE36" s="255"/>
    </row>
    <row r="37" spans="1:31" ht="49.9" customHeight="1" x14ac:dyDescent="0.25">
      <c r="A37" s="14">
        <v>35</v>
      </c>
      <c r="B37" s="4"/>
      <c r="C37" s="6" t="s">
        <v>460</v>
      </c>
      <c r="D37" s="6"/>
      <c r="E37" s="3" t="s">
        <v>302</v>
      </c>
      <c r="F37" s="3" t="s">
        <v>337</v>
      </c>
      <c r="G37" s="3" t="s">
        <v>378</v>
      </c>
      <c r="H37" s="3" t="s">
        <v>419</v>
      </c>
      <c r="I37" s="16">
        <f t="shared" ca="1" si="0"/>
        <v>81432</v>
      </c>
      <c r="J37" s="16"/>
      <c r="K37" s="16"/>
      <c r="L37" s="16"/>
      <c r="M37" s="15">
        <f t="shared" ca="1" si="1"/>
        <v>45237</v>
      </c>
      <c r="N37" s="3">
        <v>8</v>
      </c>
      <c r="O37" s="3" t="s">
        <v>468</v>
      </c>
      <c r="P37" s="3"/>
      <c r="Q37" s="3">
        <f ca="1">YEAR(Tabla3[[#This Row],[Fecha Comité Ejec. Proy.]])</f>
        <v>2023</v>
      </c>
      <c r="R37" s="3">
        <f ca="1">Tabla3[[#This Row],[Año Inicio Planificado]] + 2</f>
        <v>2025</v>
      </c>
      <c r="S37" s="3">
        <f t="shared" ca="1" si="2"/>
        <v>3</v>
      </c>
      <c r="T37" s="14"/>
      <c r="U37" s="103"/>
      <c r="V37" s="3" t="s">
        <v>470</v>
      </c>
      <c r="W37" s="3"/>
      <c r="X37" s="3"/>
      <c r="Y37" s="15"/>
      <c r="Z37" s="15"/>
      <c r="AA37" s="17">
        <v>1</v>
      </c>
      <c r="AB37" s="17">
        <v>1</v>
      </c>
      <c r="AC37" s="25">
        <f>Tabla3[[#This Row],[% Avance ejecutado]]-Tabla3[[#This Row],[% Avance Planificado]]/Tabla3[[#This Row],[% Avance Planificado]]</f>
        <v>0</v>
      </c>
      <c r="AD37" s="3" t="s">
        <v>37</v>
      </c>
      <c r="AE37" s="255"/>
    </row>
    <row r="38" spans="1:31" ht="49.9" customHeight="1" x14ac:dyDescent="0.25">
      <c r="A38" s="14">
        <v>36</v>
      </c>
      <c r="B38" s="4"/>
      <c r="C38" s="6" t="s">
        <v>461</v>
      </c>
      <c r="D38" s="6"/>
      <c r="E38" s="3" t="s">
        <v>302</v>
      </c>
      <c r="F38" s="3" t="s">
        <v>338</v>
      </c>
      <c r="G38" s="3" t="s">
        <v>379</v>
      </c>
      <c r="H38" s="3" t="s">
        <v>420</v>
      </c>
      <c r="I38" s="16">
        <f t="shared" ca="1" si="0"/>
        <v>96355</v>
      </c>
      <c r="J38" s="16"/>
      <c r="K38" s="16"/>
      <c r="L38" s="16"/>
      <c r="M38" s="15">
        <f t="shared" ca="1" si="1"/>
        <v>46006</v>
      </c>
      <c r="N38" s="3">
        <v>8.1999999999999993</v>
      </c>
      <c r="O38" s="3" t="s">
        <v>468</v>
      </c>
      <c r="P38" s="3"/>
      <c r="Q38" s="3">
        <f ca="1">YEAR(Tabla3[[#This Row],[Fecha Comité Ejec. Proy.]])</f>
        <v>2025</v>
      </c>
      <c r="R38" s="3">
        <f ca="1">Tabla3[[#This Row],[Año Inicio Planificado]] + 2</f>
        <v>2027</v>
      </c>
      <c r="S38" s="3">
        <f t="shared" ca="1" si="2"/>
        <v>1</v>
      </c>
      <c r="T38" s="14"/>
      <c r="U38" s="103"/>
      <c r="V38" s="3" t="s">
        <v>470</v>
      </c>
      <c r="W38" s="3"/>
      <c r="X38" s="3"/>
      <c r="Y38" s="15"/>
      <c r="Z38" s="15"/>
      <c r="AA38" s="17">
        <v>1</v>
      </c>
      <c r="AB38" s="17">
        <v>1</v>
      </c>
      <c r="AC38" s="25">
        <f>Tabla3[[#This Row],[% Avance ejecutado]]-Tabla3[[#This Row],[% Avance Planificado]]/Tabla3[[#This Row],[% Avance Planificado]]</f>
        <v>0</v>
      </c>
      <c r="AD38" s="3" t="s">
        <v>44</v>
      </c>
      <c r="AE38" s="255"/>
    </row>
    <row r="39" spans="1:31" ht="49.9" customHeight="1" x14ac:dyDescent="0.25">
      <c r="A39" s="14">
        <v>37</v>
      </c>
      <c r="B39" s="4"/>
      <c r="C39" s="6" t="s">
        <v>462</v>
      </c>
      <c r="D39" s="6"/>
      <c r="E39" s="3" t="s">
        <v>302</v>
      </c>
      <c r="F39" s="3" t="s">
        <v>339</v>
      </c>
      <c r="G39" s="3" t="s">
        <v>380</v>
      </c>
      <c r="H39" s="3" t="s">
        <v>421</v>
      </c>
      <c r="I39" s="16">
        <f t="shared" ca="1" si="0"/>
        <v>90766</v>
      </c>
      <c r="J39" s="16"/>
      <c r="K39" s="16"/>
      <c r="L39" s="16"/>
      <c r="M39" s="15">
        <f t="shared" ca="1" si="1"/>
        <v>44369</v>
      </c>
      <c r="N39" s="3">
        <v>8.4</v>
      </c>
      <c r="O39" s="3" t="s">
        <v>468</v>
      </c>
      <c r="P39" s="3"/>
      <c r="Q39" s="3">
        <f ca="1">YEAR(Tabla3[[#This Row],[Fecha Comité Ejec. Proy.]])</f>
        <v>2021</v>
      </c>
      <c r="R39" s="3">
        <f ca="1">Tabla3[[#This Row],[Año Inicio Planificado]] + 2</f>
        <v>2023</v>
      </c>
      <c r="S39" s="3">
        <f t="shared" ca="1" si="2"/>
        <v>3</v>
      </c>
      <c r="T39" s="14"/>
      <c r="U39" s="27"/>
      <c r="V39" s="3" t="s">
        <v>470</v>
      </c>
      <c r="W39" s="35"/>
      <c r="X39" s="3"/>
      <c r="Y39" s="15"/>
      <c r="Z39" s="15"/>
      <c r="AA39" s="17">
        <v>0.09</v>
      </c>
      <c r="AB39" s="17">
        <v>0.06</v>
      </c>
      <c r="AC39" s="25">
        <f>Tabla3[[#This Row],[% Avance ejecutado]]-Tabla3[[#This Row],[% Avance Planificado]]/Tabla3[[#This Row],[% Avance Planificado]]</f>
        <v>-0.94</v>
      </c>
      <c r="AD39" s="3" t="s">
        <v>37</v>
      </c>
      <c r="AE39" s="255"/>
    </row>
    <row r="40" spans="1:31" ht="49.9" customHeight="1" x14ac:dyDescent="0.25">
      <c r="A40" s="14">
        <v>38</v>
      </c>
      <c r="B40" s="4"/>
      <c r="C40" s="6" t="s">
        <v>463</v>
      </c>
      <c r="D40" s="6"/>
      <c r="E40" s="3" t="s">
        <v>302</v>
      </c>
      <c r="F40" s="3" t="s">
        <v>340</v>
      </c>
      <c r="G40" s="3" t="s">
        <v>381</v>
      </c>
      <c r="H40" s="3" t="s">
        <v>422</v>
      </c>
      <c r="I40" s="16">
        <f t="shared" ca="1" si="0"/>
        <v>14804</v>
      </c>
      <c r="J40" s="16"/>
      <c r="K40" s="16"/>
      <c r="L40" s="16"/>
      <c r="M40" s="15">
        <f t="shared" ca="1" si="1"/>
        <v>44536</v>
      </c>
      <c r="N40" s="3">
        <v>8.6</v>
      </c>
      <c r="O40" s="3" t="s">
        <v>468</v>
      </c>
      <c r="P40" s="3"/>
      <c r="Q40" s="3">
        <f ca="1">YEAR(Tabla3[[#This Row],[Fecha Comité Ejec. Proy.]])</f>
        <v>2021</v>
      </c>
      <c r="R40" s="3">
        <f ca="1">Tabla3[[#This Row],[Año Inicio Planificado]] + 2</f>
        <v>2023</v>
      </c>
      <c r="S40" s="3">
        <f t="shared" ca="1" si="2"/>
        <v>3</v>
      </c>
      <c r="T40" s="14"/>
      <c r="U40" s="103"/>
      <c r="V40" s="3" t="s">
        <v>470</v>
      </c>
      <c r="W40" s="3"/>
      <c r="X40" s="3"/>
      <c r="Y40" s="15"/>
      <c r="Z40" s="15"/>
      <c r="AA40" s="17">
        <v>0.57999999999999996</v>
      </c>
      <c r="AB40" s="17">
        <v>0.45</v>
      </c>
      <c r="AC40" s="25">
        <f>Tabla3[[#This Row],[% Avance ejecutado]]-Tabla3[[#This Row],[% Avance Planificado]]/Tabla3[[#This Row],[% Avance Planificado]]</f>
        <v>-0.55000000000000004</v>
      </c>
      <c r="AD40" s="164" t="s">
        <v>33</v>
      </c>
      <c r="AE40" s="301"/>
    </row>
    <row r="41" spans="1:31" ht="49.9" customHeight="1" x14ac:dyDescent="0.25">
      <c r="A41" s="14">
        <v>39</v>
      </c>
      <c r="B41" s="3"/>
      <c r="C41" s="6" t="s">
        <v>464</v>
      </c>
      <c r="D41" s="6"/>
      <c r="E41" s="3" t="s">
        <v>302</v>
      </c>
      <c r="F41" s="3" t="s">
        <v>341</v>
      </c>
      <c r="G41" s="3" t="s">
        <v>382</v>
      </c>
      <c r="H41" s="3" t="s">
        <v>423</v>
      </c>
      <c r="I41" s="16">
        <f t="shared" ca="1" si="0"/>
        <v>21420</v>
      </c>
      <c r="J41" s="16"/>
      <c r="K41" s="16"/>
      <c r="L41" s="16"/>
      <c r="M41" s="15">
        <f t="shared" ca="1" si="1"/>
        <v>44578</v>
      </c>
      <c r="N41" s="3">
        <v>8.8000000000000007</v>
      </c>
      <c r="O41" s="3" t="s">
        <v>468</v>
      </c>
      <c r="P41" s="3"/>
      <c r="Q41" s="3">
        <f ca="1">YEAR(Tabla3[[#This Row],[Fecha Comité Ejec. Proy.]])</f>
        <v>2022</v>
      </c>
      <c r="R41" s="3">
        <f ca="1">Tabla3[[#This Row],[Año Inicio Planificado]] + 2</f>
        <v>2024</v>
      </c>
      <c r="S41" s="3">
        <f t="shared" ca="1" si="2"/>
        <v>2</v>
      </c>
      <c r="T41" s="14"/>
      <c r="U41" s="33"/>
      <c r="V41" s="3" t="s">
        <v>470</v>
      </c>
      <c r="W41" s="3"/>
      <c r="X41" s="3"/>
      <c r="Y41" s="15"/>
      <c r="Z41" s="15"/>
      <c r="AA41" s="17">
        <v>0</v>
      </c>
      <c r="AB41" s="17">
        <v>0</v>
      </c>
      <c r="AC41" s="25" t="e">
        <f>Tabla3[[#This Row],[% Avance ejecutado]]-Tabla3[[#This Row],[% Avance Planificado]]/Tabla3[[#This Row],[% Avance Planificado]]</f>
        <v>#DIV/0!</v>
      </c>
      <c r="AD41" s="3" t="s">
        <v>51</v>
      </c>
      <c r="AE41" s="233"/>
    </row>
    <row r="42" spans="1:31" ht="49.9" customHeight="1" x14ac:dyDescent="0.25">
      <c r="A42" s="27">
        <v>40</v>
      </c>
      <c r="B42" s="253"/>
      <c r="C42" s="6" t="s">
        <v>465</v>
      </c>
      <c r="D42" s="156"/>
      <c r="E42" s="7" t="s">
        <v>302</v>
      </c>
      <c r="F42" s="3" t="s">
        <v>342</v>
      </c>
      <c r="G42" s="3" t="s">
        <v>383</v>
      </c>
      <c r="H42" s="3" t="s">
        <v>424</v>
      </c>
      <c r="I42" s="28">
        <f t="shared" ca="1" si="0"/>
        <v>37568</v>
      </c>
      <c r="J42" s="28"/>
      <c r="K42" s="28"/>
      <c r="L42" s="28"/>
      <c r="M42" s="29">
        <f t="shared" ca="1" si="1"/>
        <v>44800</v>
      </c>
      <c r="N42" s="3">
        <v>9</v>
      </c>
      <c r="O42" s="3" t="s">
        <v>468</v>
      </c>
      <c r="P42" s="7"/>
      <c r="Q42" s="7">
        <f ca="1">YEAR(Tabla3[[#This Row],[Fecha Comité Ejec. Proy.]])</f>
        <v>2022</v>
      </c>
      <c r="R42" s="7">
        <f ca="1">Tabla3[[#This Row],[Año Inicio Planificado]] + 2</f>
        <v>2024</v>
      </c>
      <c r="S42" s="7">
        <f t="shared" ca="1" si="2"/>
        <v>4</v>
      </c>
      <c r="T42" s="7"/>
      <c r="U42" s="27"/>
      <c r="V42" s="7" t="s">
        <v>470</v>
      </c>
      <c r="W42" s="7"/>
      <c r="X42" s="7"/>
      <c r="Y42" s="29"/>
      <c r="Z42" s="29"/>
      <c r="AA42" s="30">
        <v>0.6</v>
      </c>
      <c r="AB42" s="30">
        <v>0.26</v>
      </c>
      <c r="AC42" s="31">
        <f>Tabla3[[#This Row],[% Avance ejecutado]]-Tabla3[[#This Row],[% Avance Planificado]]/Tabla3[[#This Row],[% Avance Planificado]]</f>
        <v>-0.74</v>
      </c>
      <c r="AD42" s="3" t="s">
        <v>33</v>
      </c>
      <c r="AE42" s="311"/>
    </row>
    <row r="43" spans="1:31" ht="49.9" customHeight="1" x14ac:dyDescent="0.25">
      <c r="A43" s="27">
        <v>41</v>
      </c>
      <c r="B43" s="7" t="s">
        <v>31</v>
      </c>
      <c r="C43" s="6" t="s">
        <v>466</v>
      </c>
      <c r="D43" s="156"/>
      <c r="E43" s="7" t="s">
        <v>302</v>
      </c>
      <c r="F43" s="3" t="s">
        <v>343</v>
      </c>
      <c r="G43" s="3" t="s">
        <v>384</v>
      </c>
      <c r="H43" s="3" t="s">
        <v>425</v>
      </c>
      <c r="I43" s="28">
        <f t="shared" ca="1" si="0"/>
        <v>2574</v>
      </c>
      <c r="J43" s="28">
        <f ca="1">Tabla3[[#This Row],[Presupuesto asignado]]/2</f>
        <v>1287</v>
      </c>
      <c r="K43" s="28">
        <f ca="1">Tabla3[[#This Row],[Valor Ganado (EV)]]</f>
        <v>1287</v>
      </c>
      <c r="L43" s="28">
        <f ca="1">Tabla3[[#This Row],[Valor Ganado (EV)]]/Tabla3[[#This Row],[Costo Actual (AC)]]</f>
        <v>1</v>
      </c>
      <c r="M43" s="29">
        <f t="shared" ca="1" si="1"/>
        <v>46052</v>
      </c>
      <c r="N43" s="3">
        <v>9.1999999999999993</v>
      </c>
      <c r="O43" s="3" t="s">
        <v>468</v>
      </c>
      <c r="P43" s="7"/>
      <c r="Q43" s="7">
        <f ca="1">YEAR(Tabla3[[#This Row],[Fecha Comité Ejec. Proy.]])</f>
        <v>2026</v>
      </c>
      <c r="R43" s="7">
        <f ca="1">Tabla3[[#This Row],[Año Inicio Planificado]] + 2</f>
        <v>2028</v>
      </c>
      <c r="S43" s="7">
        <f t="shared" ca="1" si="2"/>
        <v>2</v>
      </c>
      <c r="T43" s="7"/>
      <c r="U43" s="27"/>
      <c r="V43" s="7" t="s">
        <v>470</v>
      </c>
      <c r="W43" s="7"/>
      <c r="X43" s="7"/>
      <c r="Y43" s="29"/>
      <c r="Z43" s="29"/>
      <c r="AA43" s="30">
        <v>0</v>
      </c>
      <c r="AB43" s="30">
        <v>0</v>
      </c>
      <c r="AC43" s="30" t="e">
        <f>Tabla3[[#This Row],[% Avance ejecutado]]-Tabla3[[#This Row],[% Avance Planificado]]/Tabla3[[#This Row],[% Avance Planificado]]</f>
        <v>#DIV/0!</v>
      </c>
      <c r="AD43" s="7" t="s">
        <v>51</v>
      </c>
      <c r="AE43" s="234"/>
    </row>
  </sheetData>
  <conditionalFormatting sqref="AC25">
    <cfRule type="iconSet" priority="24">
      <iconSet>
        <cfvo type="percent" val="0"/>
        <cfvo type="percent" val="15"/>
        <cfvo type="percent" val="85"/>
      </iconSet>
    </cfRule>
  </conditionalFormatting>
  <conditionalFormatting sqref="AC26:AC41 AC3:AC24">
    <cfRule type="iconSet" priority="36">
      <iconSet>
        <cfvo type="percent" val="0"/>
        <cfvo type="percent" val="15"/>
        <cfvo type="percent" val="85"/>
      </iconSet>
    </cfRule>
  </conditionalFormatting>
  <dataValidations count="1">
    <dataValidation type="list" allowBlank="1" showInputMessage="1" showErrorMessage="1" sqref="AD3:AD43">
      <formula1>"01. No Iniciado, 02. En Curso, 03. Implementado, 04. Cerrado, 05. Descartado, 06. Paralizado"</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38" id="{BD2FD1FB-90AE-4F67-A921-96548328AB12}">
            <x14:iconSet iconSet="3Arrows" custom="1">
              <x14:cfvo type="percent">
                <xm:f>0</xm:f>
              </x14:cfvo>
              <x14:cfvo type="num">
                <xm:f>0</xm:f>
              </x14:cfvo>
              <x14:cfvo type="num" gte="0">
                <xm:f>1</xm:f>
              </x14:cfvo>
              <x14:cfIcon iconSet="3Arrows" iconId="0"/>
              <x14:cfIcon iconSet="3ArrowsGray" iconId="2"/>
              <x14:cfIcon iconSet="3Arrows" iconId="2"/>
            </x14:iconSet>
          </x14:cfRule>
          <xm:sqref>L7:L8 L10:L41</xm:sqref>
        </x14:conditionalFormatting>
        <x14:conditionalFormatting xmlns:xm="http://schemas.microsoft.com/office/excel/2006/main">
          <x14:cfRule type="iconSet" priority="40" id="{DCCA26CD-819F-4BB2-834A-9DC230BE49FB}">
            <x14:iconSet iconSet="3Signs" custom="1">
              <x14:cfvo type="percent">
                <xm:f>0</xm:f>
              </x14:cfvo>
              <x14:cfvo type="formula">
                <xm:f>$L$7:$L$41="1"</xm:f>
              </x14:cfvo>
              <x14:cfvo type="formula" gte="0">
                <xm:f>$L$7:$L$41&gt;"1"</xm:f>
              </x14:cfvo>
              <x14:cfIcon iconSet="3Signs" iconId="0"/>
              <x14:cfIcon iconSet="4TrafficLights" iconId="0"/>
              <x14:cfIcon iconSet="3TrafficLights1" iconId="2"/>
            </x14:iconSet>
          </x14:cfRule>
          <xm:sqref>L9</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tabColor rgb="FFFFC000"/>
  </sheetPr>
  <dimension ref="A1:AV359"/>
  <sheetViews>
    <sheetView zoomScale="70" zoomScaleNormal="70" workbookViewId="0">
      <pane xSplit="6" ySplit="4" topLeftCell="AP5" activePane="bottomRight" state="frozen"/>
      <selection pane="topRight"/>
      <selection pane="bottomLeft"/>
      <selection pane="bottomRight" activeCell="H25" sqref="H25:H115"/>
    </sheetView>
  </sheetViews>
  <sheetFormatPr baseColWidth="10" defaultColWidth="11.42578125" defaultRowHeight="15" customHeight="1" x14ac:dyDescent="0.25"/>
  <cols>
    <col min="1" max="1" width="10.42578125" style="5" customWidth="1"/>
    <col min="2" max="2" width="15.5703125" style="36" customWidth="1"/>
    <col min="3" max="3" width="14.85546875" style="36" customWidth="1"/>
    <col min="4" max="4" width="16.42578125" style="36" customWidth="1"/>
    <col min="5" max="5" width="17.5703125" style="5" bestFit="1" customWidth="1"/>
    <col min="6" max="6" width="35" style="132" customWidth="1"/>
    <col min="7" max="7" width="38.28515625" style="132" customWidth="1"/>
    <col min="8" max="8" width="15" style="9" customWidth="1"/>
    <col min="9" max="11" width="16.42578125" style="9" customWidth="1"/>
    <col min="12" max="12" width="18.28515625" style="44" customWidth="1"/>
    <col min="13" max="13" width="22.7109375" style="36" customWidth="1"/>
    <col min="14" max="16" width="18.85546875" style="36" customWidth="1"/>
    <col min="17" max="17" width="15.42578125" style="5" customWidth="1"/>
    <col min="18" max="18" width="18.42578125" style="36" customWidth="1"/>
    <col min="19" max="19" width="25.28515625" style="36" customWidth="1"/>
    <col min="20" max="23" width="19.42578125" style="36" customWidth="1"/>
    <col min="24" max="24" width="18.7109375" customWidth="1"/>
    <col min="25" max="26" width="19.42578125" style="36" customWidth="1"/>
    <col min="27" max="27" width="16.42578125" style="36" customWidth="1"/>
    <col min="28" max="28" width="19.85546875" style="9" customWidth="1"/>
    <col min="29" max="29" width="18" style="9" customWidth="1"/>
    <col min="30" max="30" width="20.140625" style="36" customWidth="1"/>
    <col min="31" max="31" width="21" style="36" customWidth="1"/>
    <col min="32" max="32" width="14.140625" style="36" hidden="1" customWidth="1"/>
    <col min="33" max="33" width="16.42578125" style="5" hidden="1" customWidth="1"/>
    <col min="34" max="34" width="17" style="36" customWidth="1"/>
    <col min="35" max="37" width="16.5703125" style="36" customWidth="1"/>
    <col min="38" max="38" width="15.7109375" style="36" customWidth="1"/>
    <col min="39" max="41" width="11" style="36" customWidth="1"/>
    <col min="42" max="42" width="14.5703125" style="36" customWidth="1"/>
    <col min="43" max="43" width="13.7109375" style="36" customWidth="1"/>
    <col min="44" max="44" width="22" style="38" customWidth="1"/>
    <col min="45" max="45" width="19.5703125" style="36" customWidth="1"/>
    <col min="46" max="46" width="17.28515625" style="36" customWidth="1"/>
    <col min="47" max="47" width="41.28515625" style="39" customWidth="1"/>
    <col min="48" max="48" width="25" style="37" customWidth="1"/>
    <col min="49" max="16384" width="11.42578125" style="37"/>
  </cols>
  <sheetData>
    <row r="1" spans="1:48" s="125" customFormat="1" ht="18" customHeight="1" x14ac:dyDescent="0.3">
      <c r="A1" s="348" t="s">
        <v>52</v>
      </c>
      <c r="B1" s="348"/>
      <c r="C1" s="123">
        <f>COUNT(DemandaEstrateg_[ID])</f>
        <v>111</v>
      </c>
      <c r="D1" s="203"/>
      <c r="E1" s="203"/>
      <c r="F1" s="167">
        <f ca="1">TODAY()</f>
        <v>46150</v>
      </c>
      <c r="G1" s="130"/>
      <c r="H1" s="126"/>
      <c r="I1" s="127"/>
      <c r="J1" s="127"/>
      <c r="K1" s="127"/>
      <c r="L1" s="128"/>
      <c r="M1" s="124"/>
      <c r="N1" s="124"/>
      <c r="O1" s="124"/>
      <c r="P1" s="124"/>
      <c r="Q1" s="124"/>
      <c r="R1" s="124"/>
      <c r="S1" s="124"/>
      <c r="T1" s="124"/>
      <c r="U1" s="124"/>
      <c r="V1" s="124"/>
      <c r="W1" s="124"/>
      <c r="Y1" s="124"/>
      <c r="Z1" s="124"/>
      <c r="AA1" s="124"/>
      <c r="AB1" s="127"/>
      <c r="AC1" s="127"/>
      <c r="AD1" s="124"/>
      <c r="AE1" s="124"/>
      <c r="AF1" s="124"/>
      <c r="AG1" s="124"/>
      <c r="AH1" s="124"/>
      <c r="AI1" s="124"/>
      <c r="AJ1" s="124"/>
      <c r="AK1" s="124"/>
      <c r="AL1" s="124"/>
      <c r="AM1" s="124"/>
      <c r="AN1" s="124"/>
      <c r="AO1" s="124"/>
      <c r="AP1" s="124"/>
      <c r="AQ1" s="124"/>
      <c r="AR1" s="127"/>
      <c r="AS1" s="124"/>
      <c r="AT1" s="124"/>
      <c r="AU1" s="129"/>
    </row>
    <row r="2" spans="1:48" s="122" customFormat="1" ht="26.25" x14ac:dyDescent="0.4">
      <c r="A2" s="349" t="s">
        <v>53</v>
      </c>
      <c r="B2" s="349"/>
      <c r="C2" s="349"/>
      <c r="D2" s="349"/>
      <c r="E2" s="349"/>
      <c r="F2" s="349"/>
      <c r="G2" s="349"/>
      <c r="H2" s="349"/>
      <c r="I2" s="119"/>
      <c r="J2" s="119"/>
      <c r="K2" s="119"/>
      <c r="L2" s="120"/>
      <c r="M2" s="118"/>
      <c r="N2" s="118"/>
      <c r="O2" s="118"/>
      <c r="P2" s="118"/>
      <c r="Q2" s="118"/>
      <c r="R2" s="118"/>
      <c r="S2" s="118"/>
      <c r="T2" s="118"/>
      <c r="U2" s="118"/>
      <c r="V2" s="118"/>
      <c r="W2" s="118"/>
      <c r="X2" s="125"/>
      <c r="Y2" s="118"/>
      <c r="Z2" s="118"/>
      <c r="AA2" s="118"/>
      <c r="AB2" s="119"/>
      <c r="AC2" s="119"/>
      <c r="AD2" s="118"/>
      <c r="AE2" s="118"/>
      <c r="AF2" s="118"/>
      <c r="AG2" s="118"/>
      <c r="AH2" s="118"/>
      <c r="AI2" s="118"/>
      <c r="AJ2" s="118"/>
      <c r="AK2" s="118"/>
      <c r="AL2" s="118"/>
      <c r="AM2" s="118"/>
      <c r="AN2" s="118"/>
      <c r="AO2" s="118"/>
      <c r="AP2" s="118"/>
      <c r="AQ2" s="118"/>
      <c r="AR2" s="119"/>
      <c r="AS2" s="118"/>
      <c r="AT2" s="118"/>
      <c r="AU2" s="121"/>
    </row>
    <row r="3" spans="1:48" x14ac:dyDescent="0.25">
      <c r="A3" s="36"/>
      <c r="E3" s="36"/>
      <c r="F3" s="39"/>
      <c r="G3" s="39"/>
      <c r="H3" s="159"/>
      <c r="I3" s="38"/>
      <c r="J3" s="38"/>
      <c r="K3" s="38"/>
      <c r="L3" s="36"/>
      <c r="Q3" s="36"/>
      <c r="X3" s="1"/>
      <c r="AB3" s="38"/>
      <c r="AC3" s="38"/>
      <c r="AG3" s="36"/>
      <c r="AK3" s="36" t="s">
        <v>54</v>
      </c>
      <c r="AL3" s="36" t="s">
        <v>54</v>
      </c>
      <c r="AM3" s="36" t="s">
        <v>54</v>
      </c>
      <c r="AN3" s="308" t="s">
        <v>55</v>
      </c>
      <c r="AO3" s="308" t="s">
        <v>55</v>
      </c>
      <c r="AV3" s="40"/>
    </row>
    <row r="4" spans="1:48" ht="42" customHeight="1" thickBot="1" x14ac:dyDescent="0.25">
      <c r="A4" s="26" t="s">
        <v>56</v>
      </c>
      <c r="B4" s="139" t="s">
        <v>57</v>
      </c>
      <c r="C4" s="139" t="s">
        <v>58</v>
      </c>
      <c r="D4" s="139" t="s">
        <v>59</v>
      </c>
      <c r="E4" s="26" t="s">
        <v>60</v>
      </c>
      <c r="F4" s="114" t="s">
        <v>2</v>
      </c>
      <c r="G4" s="114" t="s">
        <v>3</v>
      </c>
      <c r="H4" s="26" t="s">
        <v>4</v>
      </c>
      <c r="I4" s="26" t="s">
        <v>5</v>
      </c>
      <c r="J4" s="26" t="s">
        <v>6</v>
      </c>
      <c r="K4" s="26" t="s">
        <v>61</v>
      </c>
      <c r="L4" s="139" t="s">
        <v>62</v>
      </c>
      <c r="M4" s="139" t="s">
        <v>63</v>
      </c>
      <c r="N4" s="139" t="s">
        <v>64</v>
      </c>
      <c r="O4" s="139" t="s">
        <v>65</v>
      </c>
      <c r="P4" s="139" t="s">
        <v>66</v>
      </c>
      <c r="Q4" s="139" t="s">
        <v>67</v>
      </c>
      <c r="R4" s="139" t="s">
        <v>68</v>
      </c>
      <c r="S4" s="139" t="s">
        <v>69</v>
      </c>
      <c r="T4" s="139" t="s">
        <v>70</v>
      </c>
      <c r="U4" s="114" t="s">
        <v>16</v>
      </c>
      <c r="V4" s="114" t="s">
        <v>17</v>
      </c>
      <c r="W4" s="26" t="s">
        <v>71</v>
      </c>
      <c r="X4" s="26" t="s">
        <v>8</v>
      </c>
      <c r="Y4" s="138" t="s">
        <v>21</v>
      </c>
      <c r="Z4" s="42" t="s">
        <v>72</v>
      </c>
      <c r="AA4" s="140" t="s">
        <v>73</v>
      </c>
      <c r="AB4" s="140" t="s">
        <v>74</v>
      </c>
      <c r="AC4" s="140" t="s">
        <v>75</v>
      </c>
      <c r="AD4" s="140" t="s">
        <v>23</v>
      </c>
      <c r="AE4" s="140" t="s">
        <v>76</v>
      </c>
      <c r="AF4" s="41" t="s">
        <v>77</v>
      </c>
      <c r="AG4" s="43" t="s">
        <v>78</v>
      </c>
      <c r="AH4" s="139" t="s">
        <v>79</v>
      </c>
      <c r="AI4" s="139" t="s">
        <v>80</v>
      </c>
      <c r="AJ4" s="139" t="s">
        <v>81</v>
      </c>
      <c r="AK4" s="114" t="s">
        <v>26</v>
      </c>
      <c r="AL4" s="114" t="s">
        <v>27</v>
      </c>
      <c r="AM4" s="115" t="s">
        <v>28</v>
      </c>
      <c r="AN4" s="34" t="s">
        <v>82</v>
      </c>
      <c r="AO4" s="34" t="s">
        <v>83</v>
      </c>
      <c r="AP4" s="140" t="s">
        <v>84</v>
      </c>
      <c r="AQ4" s="140" t="s">
        <v>85</v>
      </c>
      <c r="AR4" s="197" t="s">
        <v>86</v>
      </c>
      <c r="AS4" s="140" t="s">
        <v>87</v>
      </c>
      <c r="AT4" s="140" t="s">
        <v>88</v>
      </c>
      <c r="AU4" s="140" t="s">
        <v>89</v>
      </c>
      <c r="AV4" s="136" t="s">
        <v>1</v>
      </c>
    </row>
    <row r="5" spans="1:48" ht="49.9" customHeight="1" thickBot="1" x14ac:dyDescent="0.25">
      <c r="A5" s="3">
        <v>1</v>
      </c>
      <c r="B5" s="273"/>
      <c r="C5" s="83"/>
      <c r="D5" s="273"/>
      <c r="E5" s="83" t="s">
        <v>90</v>
      </c>
      <c r="F5" s="148" t="s">
        <v>426</v>
      </c>
      <c r="G5" s="6"/>
      <c r="H5" s="3" t="s">
        <v>301</v>
      </c>
      <c r="I5" s="3"/>
      <c r="J5" s="3"/>
      <c r="K5" s="3"/>
      <c r="L5" s="75"/>
      <c r="M5" s="76"/>
      <c r="N5" s="77"/>
      <c r="O5" s="77"/>
      <c r="P5" s="77"/>
      <c r="Q5" s="77"/>
      <c r="R5" s="77"/>
      <c r="S5" s="77"/>
      <c r="T5" s="77"/>
      <c r="U5" s="77"/>
      <c r="V5" s="77"/>
      <c r="W5" s="15"/>
      <c r="X5" s="160"/>
      <c r="Y5" s="76"/>
      <c r="Z5" s="3"/>
      <c r="AA5" s="76"/>
      <c r="AB5" s="77"/>
      <c r="AC5" s="77"/>
      <c r="AD5" s="77"/>
      <c r="AE5" s="77"/>
      <c r="AF5" s="80"/>
      <c r="AG5" s="78"/>
      <c r="AH5" s="78">
        <f>'Portafolio P&amp;D'!Y11</f>
        <v>0</v>
      </c>
      <c r="AI5" s="81">
        <v>46142</v>
      </c>
      <c r="AJ5" s="81"/>
      <c r="AK5" s="82">
        <f>'Portafolio P&amp;D'!AA11</f>
        <v>0</v>
      </c>
      <c r="AL5" s="82">
        <f>'Portafolio P&amp;D'!AB11</f>
        <v>0</v>
      </c>
      <c r="AM5" s="161" t="e">
        <f>IF(DemandaEstrateg_[[#This Row],[Tipo de Requerimiento]]="Proyecto",(DemandaEstrateg_[[#This Row],[% Avance ejecutado]]-DemandaEstrateg_[[#This Row],[% Avance Planificado]])/DemandaEstrateg_[[#This Row],[% Avance Planificado]],"No aplica")</f>
        <v>#DIV/0!</v>
      </c>
      <c r="AN5" s="116" t="e">
        <f>IF(DemandaEstrateg_[[#This Row],[Tipo de Requerimiento]]="Proyecto",(DemandaEstrateg_[[#This Row],[% Avance ejecutado]]-DemandaEstrateg_[[#This Row],[% Avance Planificado]])/DemandaEstrateg_[[#This Row],[% Avance Planificado]],"No aplica")</f>
        <v>#DIV/0!</v>
      </c>
      <c r="AO5" s="116"/>
      <c r="AP5" s="235">
        <v>46113</v>
      </c>
      <c r="AQ5" s="117" t="s">
        <v>91</v>
      </c>
      <c r="AR5" s="117" t="s">
        <v>46</v>
      </c>
      <c r="AS5" s="198" t="s">
        <v>92</v>
      </c>
      <c r="AT5" s="79" t="e">
        <f>VLOOKUP(DemandaEstrateg_[[#This Row],[Estado TI]],#REF!,3,FALSE)</f>
        <v>#REF!</v>
      </c>
      <c r="AU5" s="176" t="s">
        <v>93</v>
      </c>
      <c r="AV5" s="137">
        <f>'Portafolio P&amp;D'!B11</f>
        <v>0</v>
      </c>
    </row>
    <row r="6" spans="1:48" s="133" customFormat="1" ht="49.9" customHeight="1" thickBot="1" x14ac:dyDescent="0.25">
      <c r="A6" s="3">
        <v>2</v>
      </c>
      <c r="B6" s="83"/>
      <c r="C6" s="83"/>
      <c r="D6" s="83"/>
      <c r="E6" s="3" t="s">
        <v>94</v>
      </c>
      <c r="F6" s="254" t="s">
        <v>427</v>
      </c>
      <c r="G6" s="6"/>
      <c r="H6" s="3" t="s">
        <v>301</v>
      </c>
      <c r="I6" s="3"/>
      <c r="J6" s="3"/>
      <c r="K6" s="15"/>
      <c r="L6" s="75"/>
      <c r="M6" s="76"/>
      <c r="N6" s="77"/>
      <c r="O6" s="77"/>
      <c r="P6" s="77"/>
      <c r="Q6" s="77"/>
      <c r="R6" s="77"/>
      <c r="S6" s="77"/>
      <c r="T6" s="84"/>
      <c r="U6" s="84"/>
      <c r="V6" s="84"/>
      <c r="W6" s="85"/>
      <c r="X6" s="36"/>
      <c r="Y6" s="76"/>
      <c r="Z6" s="3"/>
      <c r="AA6" s="76"/>
      <c r="AB6" s="77"/>
      <c r="AC6" s="77"/>
      <c r="AD6" s="77"/>
      <c r="AE6" s="77"/>
      <c r="AF6" s="80"/>
      <c r="AG6" s="78"/>
      <c r="AH6" s="78">
        <v>44963</v>
      </c>
      <c r="AI6" s="157">
        <v>45838</v>
      </c>
      <c r="AJ6" s="157"/>
      <c r="AK6" s="82" t="s">
        <v>95</v>
      </c>
      <c r="AL6" s="82" t="s">
        <v>95</v>
      </c>
      <c r="AM6" s="161" t="str">
        <f>IF(DemandaEstrateg_[[#This Row],[Tipo de Requerimiento]]="Proyecto",(DemandaEstrateg_[[#This Row],[% Avance ejecutado]]-DemandaEstrateg_[[#This Row],[% Avance Planificado]])/DemandaEstrateg_[[#This Row],[% Avance Planificado]],"No aplica")</f>
        <v>No aplica</v>
      </c>
      <c r="AN6" s="161" t="str">
        <f>IF(DemandaEstrateg_[[#This Row],[Tipo de Requerimiento]]="Proyecto",(DemandaEstrateg_[[#This Row],[% Avance ejecutado]]-DemandaEstrateg_[[#This Row],[% Avance Planificado]])/DemandaEstrateg_[[#This Row],[% Avance Planificado]],"No aplica")</f>
        <v>No aplica</v>
      </c>
      <c r="AO6" s="116"/>
      <c r="AP6" s="235">
        <v>46082</v>
      </c>
      <c r="AQ6" s="200" t="s">
        <v>91</v>
      </c>
      <c r="AR6" s="200" t="s">
        <v>96</v>
      </c>
      <c r="AS6" s="77" t="e">
        <f>VLOOKUP(DemandaEstrateg_[[#This Row],[Últ. Estado CQ 30.04]],#REF!,3,FALSE)</f>
        <v>#REF!</v>
      </c>
      <c r="AT6" s="79" t="e">
        <f>VLOOKUP(DemandaEstrateg_[[#This Row],[Estado TI]],#REF!,3,FALSE)</f>
        <v>#REF!</v>
      </c>
      <c r="AU6" s="142" t="s">
        <v>97</v>
      </c>
      <c r="AV6" s="131" t="s">
        <v>46</v>
      </c>
    </row>
    <row r="7" spans="1:48" ht="49.9" customHeight="1" thickBot="1" x14ac:dyDescent="0.25">
      <c r="A7" s="3">
        <v>3</v>
      </c>
      <c r="B7" s="77"/>
      <c r="C7" s="77"/>
      <c r="D7" s="77"/>
      <c r="E7" s="3" t="s">
        <v>94</v>
      </c>
      <c r="F7" s="148" t="s">
        <v>428</v>
      </c>
      <c r="G7" s="6"/>
      <c r="H7" s="3" t="s">
        <v>301</v>
      </c>
      <c r="I7" s="3"/>
      <c r="J7" s="3"/>
      <c r="K7" s="15"/>
      <c r="L7" s="75"/>
      <c r="M7" s="76"/>
      <c r="N7" s="77"/>
      <c r="O7" s="77"/>
      <c r="P7" s="77"/>
      <c r="Q7" s="77"/>
      <c r="R7" s="77"/>
      <c r="S7" s="77"/>
      <c r="T7" s="77"/>
      <c r="U7" s="77"/>
      <c r="V7" s="77"/>
      <c r="W7" s="85"/>
      <c r="X7" s="36"/>
      <c r="Y7" s="76"/>
      <c r="Z7" s="3"/>
      <c r="AA7" s="76"/>
      <c r="AB7" s="77"/>
      <c r="AC7" s="77"/>
      <c r="AD7" s="77"/>
      <c r="AE7" s="77"/>
      <c r="AF7" s="80"/>
      <c r="AG7" s="78"/>
      <c r="AH7" s="78">
        <v>45161</v>
      </c>
      <c r="AI7" s="157">
        <v>45723</v>
      </c>
      <c r="AJ7" s="157"/>
      <c r="AK7" s="82" t="s">
        <v>95</v>
      </c>
      <c r="AL7" s="82" t="s">
        <v>95</v>
      </c>
      <c r="AM7" s="161" t="str">
        <f>IF(DemandaEstrateg_[[#This Row],[Tipo de Requerimiento]]="Proyecto",(DemandaEstrateg_[[#This Row],[% Avance ejecutado]]-DemandaEstrateg_[[#This Row],[% Avance Planificado]])/DemandaEstrateg_[[#This Row],[% Avance Planificado]],"No aplica")</f>
        <v>No aplica</v>
      </c>
      <c r="AN7" s="161" t="str">
        <f>IF(DemandaEstrateg_[[#This Row],[Tipo de Requerimiento]]="Proyecto",(DemandaEstrateg_[[#This Row],[% Avance ejecutado]]-DemandaEstrateg_[[#This Row],[% Avance Planificado]])/DemandaEstrateg_[[#This Row],[% Avance Planificado]],"No aplica")</f>
        <v>No aplica</v>
      </c>
      <c r="AO7" s="116"/>
      <c r="AP7" s="235">
        <v>46023</v>
      </c>
      <c r="AQ7" s="117" t="s">
        <v>91</v>
      </c>
      <c r="AR7" s="80" t="s">
        <v>99</v>
      </c>
      <c r="AS7" s="86" t="e">
        <f>VLOOKUP(DemandaEstrateg_[[#This Row],[Últ. Estado CQ 30.04]],#REF!,3,FALSE)</f>
        <v>#REF!</v>
      </c>
      <c r="AT7" s="79" t="e">
        <f>VLOOKUP(DemandaEstrateg_[[#This Row],[Estado TI]],#REF!,3,FALSE)</f>
        <v>#REF!</v>
      </c>
      <c r="AU7" s="143" t="s">
        <v>100</v>
      </c>
      <c r="AV7" s="131" t="s">
        <v>46</v>
      </c>
    </row>
    <row r="8" spans="1:48" ht="54" customHeight="1" thickBot="1" x14ac:dyDescent="0.25">
      <c r="A8" s="3">
        <v>4</v>
      </c>
      <c r="B8" s="77"/>
      <c r="C8" s="77"/>
      <c r="D8" s="87"/>
      <c r="E8" s="3" t="s">
        <v>94</v>
      </c>
      <c r="F8" s="254" t="s">
        <v>429</v>
      </c>
      <c r="G8" s="6"/>
      <c r="H8" s="3" t="s">
        <v>301</v>
      </c>
      <c r="I8" s="3"/>
      <c r="J8" s="3"/>
      <c r="K8" s="15"/>
      <c r="L8" s="75"/>
      <c r="M8" s="88"/>
      <c r="N8" s="77"/>
      <c r="O8" s="77"/>
      <c r="P8" s="77"/>
      <c r="Q8" s="77"/>
      <c r="R8" s="77"/>
      <c r="S8" s="77"/>
      <c r="T8" s="77"/>
      <c r="U8" s="77"/>
      <c r="V8" s="77"/>
      <c r="W8" s="85"/>
      <c r="X8" s="36"/>
      <c r="Y8" s="76"/>
      <c r="Z8" s="3"/>
      <c r="AA8" s="76"/>
      <c r="AB8" s="77"/>
      <c r="AC8" s="77"/>
      <c r="AD8" s="77"/>
      <c r="AE8" s="77"/>
      <c r="AF8" s="80"/>
      <c r="AG8" s="78"/>
      <c r="AH8" s="78">
        <v>45183</v>
      </c>
      <c r="AI8" s="157">
        <v>45723</v>
      </c>
      <c r="AJ8" s="157"/>
      <c r="AK8" s="82" t="s">
        <v>95</v>
      </c>
      <c r="AL8" s="82" t="s">
        <v>95</v>
      </c>
      <c r="AM8" s="161" t="str">
        <f>IF(DemandaEstrateg_[[#This Row],[Tipo de Requerimiento]]="Proyecto",(DemandaEstrateg_[[#This Row],[% Avance ejecutado]]-DemandaEstrateg_[[#This Row],[% Avance Planificado]])/DemandaEstrateg_[[#This Row],[% Avance Planificado]],"No aplica")</f>
        <v>No aplica</v>
      </c>
      <c r="AN8" s="161" t="str">
        <f>IF(DemandaEstrateg_[[#This Row],[Tipo de Requerimiento]]="Proyecto",(DemandaEstrateg_[[#This Row],[% Avance ejecutado]]-DemandaEstrateg_[[#This Row],[% Avance Planificado]])/DemandaEstrateg_[[#This Row],[% Avance Planificado]],"No aplica")</f>
        <v>No aplica</v>
      </c>
      <c r="AO8" s="116"/>
      <c r="AP8" s="235">
        <v>46023</v>
      </c>
      <c r="AQ8" s="117" t="s">
        <v>91</v>
      </c>
      <c r="AR8" s="80" t="s">
        <v>99</v>
      </c>
      <c r="AS8" s="86" t="e">
        <f>VLOOKUP(DemandaEstrateg_[[#This Row],[Últ. Estado CQ 30.04]],#REF!,3,FALSE)</f>
        <v>#REF!</v>
      </c>
      <c r="AT8" s="79" t="e">
        <f>VLOOKUP(DemandaEstrateg_[[#This Row],[Estado TI]],#REF!,3,FALSE)</f>
        <v>#REF!</v>
      </c>
      <c r="AU8" s="143" t="s">
        <v>102</v>
      </c>
      <c r="AV8" s="131" t="s">
        <v>46</v>
      </c>
    </row>
    <row r="9" spans="1:48" s="133" customFormat="1" ht="49.9" customHeight="1" thickBot="1" x14ac:dyDescent="0.25">
      <c r="A9" s="3">
        <v>5</v>
      </c>
      <c r="B9" s="86"/>
      <c r="C9" s="86"/>
      <c r="D9" s="83"/>
      <c r="E9" s="3" t="s">
        <v>94</v>
      </c>
      <c r="F9" s="148" t="s">
        <v>430</v>
      </c>
      <c r="G9" s="6"/>
      <c r="H9" s="3" t="s">
        <v>301</v>
      </c>
      <c r="I9" s="3"/>
      <c r="J9" s="3"/>
      <c r="K9" s="15"/>
      <c r="L9" s="75"/>
      <c r="M9" s="150"/>
      <c r="N9" s="77"/>
      <c r="O9" s="77"/>
      <c r="P9" s="77"/>
      <c r="Q9" s="77"/>
      <c r="R9" s="77"/>
      <c r="S9" s="77"/>
      <c r="T9" s="77"/>
      <c r="U9" s="77"/>
      <c r="V9" s="77"/>
      <c r="W9" s="85"/>
      <c r="X9" s="36"/>
      <c r="Y9" s="76"/>
      <c r="Z9" s="3"/>
      <c r="AA9" s="76"/>
      <c r="AB9" s="77"/>
      <c r="AC9" s="77"/>
      <c r="AD9" s="77"/>
      <c r="AE9" s="77"/>
      <c r="AF9" s="80"/>
      <c r="AG9" s="78"/>
      <c r="AH9" s="78">
        <v>44726</v>
      </c>
      <c r="AI9" s="157">
        <v>45930</v>
      </c>
      <c r="AJ9" s="157"/>
      <c r="AK9" s="134" t="s">
        <v>95</v>
      </c>
      <c r="AL9" s="134" t="s">
        <v>95</v>
      </c>
      <c r="AM9" s="161" t="str">
        <f>IF(DemandaEstrateg_[[#This Row],[Tipo de Requerimiento]]="Proyecto",(DemandaEstrateg_[[#This Row],[% Avance ejecutado]]-DemandaEstrateg_[[#This Row],[% Avance Planificado]])/DemandaEstrateg_[[#This Row],[% Avance Planificado]],"No aplica")</f>
        <v>No aplica</v>
      </c>
      <c r="AN9" s="161" t="str">
        <f>IF(DemandaEstrateg_[[#This Row],[Tipo de Requerimiento]]="Proyecto",(DemandaEstrateg_[[#This Row],[% Avance ejecutado]]-DemandaEstrateg_[[#This Row],[% Avance Planificado]])/DemandaEstrateg_[[#This Row],[% Avance Planificado]],"No aplica")</f>
        <v>No aplica</v>
      </c>
      <c r="AO9" s="116"/>
      <c r="AP9" s="236">
        <v>46082</v>
      </c>
      <c r="AQ9" s="200" t="s">
        <v>91</v>
      </c>
      <c r="AR9" s="80" t="s">
        <v>103</v>
      </c>
      <c r="AS9" s="86" t="e">
        <f>VLOOKUP(DemandaEstrateg_[[#This Row],[Últ. Estado CQ 30.04]],#REF!,3,FALSE)</f>
        <v>#REF!</v>
      </c>
      <c r="AT9" s="79" t="e">
        <f>VLOOKUP(DemandaEstrateg_[[#This Row],[Estado TI]],#REF!,3,FALSE)</f>
        <v>#REF!</v>
      </c>
      <c r="AU9" s="142" t="s">
        <v>104</v>
      </c>
      <c r="AV9" s="131" t="s">
        <v>46</v>
      </c>
    </row>
    <row r="10" spans="1:48" ht="49.9" customHeight="1" thickBot="1" x14ac:dyDescent="0.25">
      <c r="A10" s="3">
        <v>6</v>
      </c>
      <c r="B10" s="86"/>
      <c r="C10" s="86"/>
      <c r="D10" s="90"/>
      <c r="E10" s="3" t="s">
        <v>94</v>
      </c>
      <c r="F10" s="254" t="s">
        <v>431</v>
      </c>
      <c r="G10" s="6"/>
      <c r="H10" s="3" t="s">
        <v>301</v>
      </c>
      <c r="I10" s="3"/>
      <c r="J10" s="3"/>
      <c r="K10" s="15"/>
      <c r="L10" s="75"/>
      <c r="M10" s="76"/>
      <c r="N10" s="77"/>
      <c r="O10" s="77"/>
      <c r="P10" s="77"/>
      <c r="Q10" s="77"/>
      <c r="R10" s="77"/>
      <c r="S10" s="77"/>
      <c r="T10" s="77"/>
      <c r="U10" s="77"/>
      <c r="V10" s="77"/>
      <c r="W10" s="85"/>
      <c r="X10" s="36"/>
      <c r="Y10" s="76"/>
      <c r="Z10" s="3"/>
      <c r="AA10" s="76"/>
      <c r="AB10" s="77"/>
      <c r="AC10" s="77"/>
      <c r="AD10" s="77"/>
      <c r="AE10" s="77"/>
      <c r="AF10" s="80"/>
      <c r="AG10" s="78"/>
      <c r="AH10" s="78">
        <v>45054</v>
      </c>
      <c r="AI10" s="157">
        <v>45869</v>
      </c>
      <c r="AJ10" s="157"/>
      <c r="AK10" s="82" t="s">
        <v>95</v>
      </c>
      <c r="AL10" s="82" t="s">
        <v>95</v>
      </c>
      <c r="AM10" s="161" t="str">
        <f>IF(DemandaEstrateg_[[#This Row],[Tipo de Requerimiento]]="Proyecto",(DemandaEstrateg_[[#This Row],[% Avance ejecutado]]-DemandaEstrateg_[[#This Row],[% Avance Planificado]])/DemandaEstrateg_[[#This Row],[% Avance Planificado]],"No aplica")</f>
        <v>No aplica</v>
      </c>
      <c r="AN10" s="161" t="str">
        <f>IF(DemandaEstrateg_[[#This Row],[Tipo de Requerimiento]]="Proyecto",(DemandaEstrateg_[[#This Row],[% Avance ejecutado]]-DemandaEstrateg_[[#This Row],[% Avance Planificado]])/DemandaEstrateg_[[#This Row],[% Avance Planificado]],"No aplica")</f>
        <v>No aplica</v>
      </c>
      <c r="AO10" s="116"/>
      <c r="AP10" s="236">
        <v>46082</v>
      </c>
      <c r="AQ10" s="80" t="s">
        <v>91</v>
      </c>
      <c r="AR10" s="80" t="s">
        <v>103</v>
      </c>
      <c r="AS10" s="86" t="e">
        <f>VLOOKUP(DemandaEstrateg_[[#This Row],[Últ. Estado CQ 30.04]],#REF!,3,FALSE)</f>
        <v>#REF!</v>
      </c>
      <c r="AT10" s="79" t="e">
        <f>VLOOKUP(DemandaEstrateg_[[#This Row],[Estado TI]],#REF!,3,FALSE)</f>
        <v>#REF!</v>
      </c>
      <c r="AU10" s="142" t="s">
        <v>104</v>
      </c>
      <c r="AV10" s="131" t="s">
        <v>46</v>
      </c>
    </row>
    <row r="11" spans="1:48" ht="49.9" customHeight="1" thickBot="1" x14ac:dyDescent="0.25">
      <c r="A11" s="3">
        <v>7</v>
      </c>
      <c r="B11" s="86"/>
      <c r="C11" s="86"/>
      <c r="D11" s="90"/>
      <c r="E11" s="3" t="s">
        <v>94</v>
      </c>
      <c r="F11" s="148" t="s">
        <v>432</v>
      </c>
      <c r="G11" s="6"/>
      <c r="H11" s="3" t="s">
        <v>301</v>
      </c>
      <c r="I11" s="3"/>
      <c r="J11" s="3"/>
      <c r="K11" s="15"/>
      <c r="L11" s="75"/>
      <c r="M11" s="76"/>
      <c r="N11" s="77"/>
      <c r="O11" s="77"/>
      <c r="P11" s="77"/>
      <c r="Q11" s="77"/>
      <c r="R11" s="77"/>
      <c r="S11" s="77"/>
      <c r="T11" s="77"/>
      <c r="U11" s="77"/>
      <c r="V11" s="77"/>
      <c r="W11" s="85"/>
      <c r="X11" s="36"/>
      <c r="Y11" s="76"/>
      <c r="Z11" s="3"/>
      <c r="AA11" s="76"/>
      <c r="AB11" s="77"/>
      <c r="AC11" s="77"/>
      <c r="AD11" s="77"/>
      <c r="AE11" s="77"/>
      <c r="AF11" s="80"/>
      <c r="AG11" s="78"/>
      <c r="AH11" s="78">
        <v>45236</v>
      </c>
      <c r="AI11" s="157">
        <v>45869</v>
      </c>
      <c r="AJ11" s="157"/>
      <c r="AK11" s="82" t="s">
        <v>95</v>
      </c>
      <c r="AL11" s="82" t="s">
        <v>95</v>
      </c>
      <c r="AM11" s="161" t="str">
        <f>IF(DemandaEstrateg_[[#This Row],[Tipo de Requerimiento]]="Proyecto",(DemandaEstrateg_[[#This Row],[% Avance ejecutado]]-DemandaEstrateg_[[#This Row],[% Avance Planificado]])/DemandaEstrateg_[[#This Row],[% Avance Planificado]],"No aplica")</f>
        <v>No aplica</v>
      </c>
      <c r="AN11" s="161" t="str">
        <f>IF(DemandaEstrateg_[[#This Row],[Tipo de Requerimiento]]="Proyecto",(DemandaEstrateg_[[#This Row],[% Avance ejecutado]]-DemandaEstrateg_[[#This Row],[% Avance Planificado]])/DemandaEstrateg_[[#This Row],[% Avance Planificado]],"No aplica")</f>
        <v>No aplica</v>
      </c>
      <c r="AO11" s="116"/>
      <c r="AP11" s="236">
        <v>46082</v>
      </c>
      <c r="AQ11" s="80" t="s">
        <v>91</v>
      </c>
      <c r="AR11" s="80" t="s">
        <v>103</v>
      </c>
      <c r="AS11" s="86" t="e">
        <f>VLOOKUP(DemandaEstrateg_[[#This Row],[Últ. Estado CQ 30.04]],#REF!,3,FALSE)</f>
        <v>#REF!</v>
      </c>
      <c r="AT11" s="79" t="e">
        <f>VLOOKUP(DemandaEstrateg_[[#This Row],[Estado TI]],#REF!,3,FALSE)</f>
        <v>#REF!</v>
      </c>
      <c r="AU11" s="142" t="s">
        <v>104</v>
      </c>
      <c r="AV11" s="131" t="s">
        <v>46</v>
      </c>
    </row>
    <row r="12" spans="1:48" s="133" customFormat="1" ht="49.9" customHeight="1" thickBot="1" x14ac:dyDescent="0.25">
      <c r="A12" s="3">
        <v>8</v>
      </c>
      <c r="B12" s="86"/>
      <c r="C12" s="89"/>
      <c r="D12" s="86"/>
      <c r="E12" s="3" t="s">
        <v>94</v>
      </c>
      <c r="F12" s="254" t="s">
        <v>433</v>
      </c>
      <c r="G12" s="6"/>
      <c r="H12" s="3" t="s">
        <v>301</v>
      </c>
      <c r="I12" s="3"/>
      <c r="J12" s="3"/>
      <c r="K12" s="15"/>
      <c r="L12" s="75"/>
      <c r="M12" s="76"/>
      <c r="N12" s="77"/>
      <c r="O12" s="77"/>
      <c r="P12" s="77"/>
      <c r="Q12" s="77"/>
      <c r="R12" s="77"/>
      <c r="S12" s="77"/>
      <c r="T12" s="77"/>
      <c r="U12" s="77"/>
      <c r="V12" s="77"/>
      <c r="W12" s="85"/>
      <c r="X12" s="36"/>
      <c r="Y12" s="76"/>
      <c r="Z12" s="3"/>
      <c r="AA12" s="76"/>
      <c r="AB12" s="77"/>
      <c r="AC12" s="77"/>
      <c r="AD12" s="77"/>
      <c r="AE12" s="77"/>
      <c r="AF12" s="80"/>
      <c r="AG12" s="78"/>
      <c r="AH12" s="78">
        <v>44739</v>
      </c>
      <c r="AI12" s="157">
        <v>45838</v>
      </c>
      <c r="AJ12" s="157">
        <v>46050</v>
      </c>
      <c r="AK12" s="134" t="s">
        <v>95</v>
      </c>
      <c r="AL12" s="134" t="s">
        <v>95</v>
      </c>
      <c r="AM12" s="161" t="str">
        <f>IF(DemandaEstrateg_[[#This Row],[Tipo de Requerimiento]]="Proyecto",(DemandaEstrateg_[[#This Row],[% Avance ejecutado]]-DemandaEstrateg_[[#This Row],[% Avance Planificado]])/DemandaEstrateg_[[#This Row],[% Avance Planificado]],"No aplica")</f>
        <v>No aplica</v>
      </c>
      <c r="AN12" s="161" t="str">
        <f>IF(DemandaEstrateg_[[#This Row],[Tipo de Requerimiento]]="Proyecto",(DemandaEstrateg_[[#This Row],[% Avance ejecutado]]-DemandaEstrateg_[[#This Row],[% Avance Planificado]])/DemandaEstrateg_[[#This Row],[% Avance Planificado]],"No aplica")</f>
        <v>No aplica</v>
      </c>
      <c r="AO12" s="116"/>
      <c r="AP12" s="236">
        <v>45992</v>
      </c>
      <c r="AQ12" s="200" t="s">
        <v>105</v>
      </c>
      <c r="AR12" s="298" t="s">
        <v>106</v>
      </c>
      <c r="AS12" s="86" t="e">
        <f>VLOOKUP(DemandaEstrateg_[[#This Row],[Últ. Estado CQ 30.04]],#REF!,3,FALSE)</f>
        <v>#REF!</v>
      </c>
      <c r="AT12" s="79" t="e">
        <f>VLOOKUP(DemandaEstrateg_[[#This Row],[Estado TI]],#REF!,3,FALSE)</f>
        <v>#REF!</v>
      </c>
      <c r="AU12" s="142" t="s">
        <v>104</v>
      </c>
      <c r="AV12" s="131" t="s">
        <v>46</v>
      </c>
    </row>
    <row r="13" spans="1:48" ht="49.9" customHeight="1" thickBot="1" x14ac:dyDescent="0.25">
      <c r="A13" s="3">
        <v>9</v>
      </c>
      <c r="B13" s="86"/>
      <c r="C13" s="86"/>
      <c r="D13" s="90"/>
      <c r="E13" s="3" t="s">
        <v>94</v>
      </c>
      <c r="F13" s="148" t="s">
        <v>434</v>
      </c>
      <c r="G13" s="6"/>
      <c r="H13" s="3" t="s">
        <v>301</v>
      </c>
      <c r="I13" s="3"/>
      <c r="J13" s="3"/>
      <c r="K13" s="15"/>
      <c r="L13" s="75"/>
      <c r="M13" s="76"/>
      <c r="N13" s="77"/>
      <c r="O13" s="77"/>
      <c r="P13" s="77"/>
      <c r="Q13" s="77"/>
      <c r="R13" s="77"/>
      <c r="S13" s="77"/>
      <c r="T13" s="77"/>
      <c r="U13" s="77"/>
      <c r="V13" s="77"/>
      <c r="W13" s="85"/>
      <c r="X13" s="36"/>
      <c r="Y13" s="76"/>
      <c r="Z13" s="3"/>
      <c r="AA13" s="76"/>
      <c r="AB13" s="77"/>
      <c r="AC13" s="77"/>
      <c r="AD13" s="77"/>
      <c r="AE13" s="77"/>
      <c r="AF13" s="80"/>
      <c r="AG13" s="78"/>
      <c r="AH13" s="78">
        <v>45045</v>
      </c>
      <c r="AI13" s="157">
        <v>45723</v>
      </c>
      <c r="AJ13" s="157">
        <v>46052</v>
      </c>
      <c r="AK13" s="82" t="s">
        <v>95</v>
      </c>
      <c r="AL13" s="82" t="s">
        <v>95</v>
      </c>
      <c r="AM13" s="161" t="str">
        <f>IF(DemandaEstrateg_[[#This Row],[Tipo de Requerimiento]]="Proyecto",(DemandaEstrateg_[[#This Row],[% Avance ejecutado]]-DemandaEstrateg_[[#This Row],[% Avance Planificado]])/DemandaEstrateg_[[#This Row],[% Avance Planificado]],"No aplica")</f>
        <v>No aplica</v>
      </c>
      <c r="AN13" s="161" t="str">
        <f>IF(DemandaEstrateg_[[#This Row],[Tipo de Requerimiento]]="Proyecto",(DemandaEstrateg_[[#This Row],[% Avance ejecutado]]-DemandaEstrateg_[[#This Row],[% Avance Planificado]])/DemandaEstrateg_[[#This Row],[% Avance Planificado]],"No aplica")</f>
        <v>No aplica</v>
      </c>
      <c r="AO13" s="116"/>
      <c r="AP13" s="236">
        <v>45992</v>
      </c>
      <c r="AQ13" s="80" t="s">
        <v>105</v>
      </c>
      <c r="AR13" s="298" t="s">
        <v>106</v>
      </c>
      <c r="AS13" s="86" t="e">
        <f>VLOOKUP(DemandaEstrateg_[[#This Row],[Últ. Estado CQ 30.04]],#REF!,3,FALSE)</f>
        <v>#REF!</v>
      </c>
      <c r="AT13" s="79" t="e">
        <f>VLOOKUP(DemandaEstrateg_[[#This Row],[Estado TI]],#REF!,3,FALSE)</f>
        <v>#REF!</v>
      </c>
      <c r="AU13" s="144" t="s">
        <v>107</v>
      </c>
      <c r="AV13" s="131" t="s">
        <v>46</v>
      </c>
    </row>
    <row r="14" spans="1:48" s="133" customFormat="1" ht="49.9" customHeight="1" thickBot="1" x14ac:dyDescent="0.25">
      <c r="A14" s="3">
        <v>10</v>
      </c>
      <c r="B14" s="86"/>
      <c r="C14" s="86"/>
      <c r="D14" s="86"/>
      <c r="E14" s="3" t="s">
        <v>94</v>
      </c>
      <c r="F14" s="254" t="s">
        <v>435</v>
      </c>
      <c r="G14" s="6"/>
      <c r="H14" s="3" t="s">
        <v>301</v>
      </c>
      <c r="I14" s="3"/>
      <c r="J14" s="3"/>
      <c r="K14" s="15"/>
      <c r="L14" s="75"/>
      <c r="M14" s="76"/>
      <c r="N14" s="77"/>
      <c r="O14" s="77"/>
      <c r="P14" s="77"/>
      <c r="Q14" s="77"/>
      <c r="R14" s="77"/>
      <c r="S14" s="77"/>
      <c r="T14" s="77"/>
      <c r="U14" s="77"/>
      <c r="V14" s="77"/>
      <c r="W14" s="85"/>
      <c r="X14" s="36"/>
      <c r="Y14" s="76"/>
      <c r="Z14" s="3"/>
      <c r="AA14" s="76"/>
      <c r="AB14" s="77"/>
      <c r="AC14" s="77"/>
      <c r="AD14" s="77"/>
      <c r="AE14" s="77"/>
      <c r="AF14" s="80"/>
      <c r="AG14" s="78"/>
      <c r="AH14" s="78">
        <v>45652</v>
      </c>
      <c r="AI14" s="157">
        <v>46139</v>
      </c>
      <c r="AJ14" s="157"/>
      <c r="AK14" s="134">
        <v>0.71</v>
      </c>
      <c r="AL14" s="134">
        <v>0.51</v>
      </c>
      <c r="AM14" s="161" t="str">
        <f>IF(DemandaEstrateg_[[#This Row],[Tipo de Requerimiento]]="Proyecto",(DemandaEstrateg_[[#This Row],[% Avance ejecutado]]-DemandaEstrateg_[[#This Row],[% Avance Planificado]])/DemandaEstrateg_[[#This Row],[% Avance Planificado]],"No aplica")</f>
        <v>No aplica</v>
      </c>
      <c r="AN14" s="161" t="str">
        <f>IF(DemandaEstrateg_[[#This Row],[Tipo de Requerimiento]]="Proyecto",(DemandaEstrateg_[[#This Row],[% Avance ejecutado]]-DemandaEstrateg_[[#This Row],[% Avance Planificado]])/DemandaEstrateg_[[#This Row],[% Avance Planificado]],"No aplica")</f>
        <v>No aplica</v>
      </c>
      <c r="AO14" s="116"/>
      <c r="AP14" s="236">
        <v>46082</v>
      </c>
      <c r="AQ14" s="200" t="s">
        <v>91</v>
      </c>
      <c r="AR14" s="200" t="s">
        <v>96</v>
      </c>
      <c r="AS14" s="86" t="e">
        <f>VLOOKUP(DemandaEstrateg_[[#This Row],[Últ. Estado CQ 30.04]],#REF!,3,FALSE)</f>
        <v>#REF!</v>
      </c>
      <c r="AT14" s="79" t="e">
        <f>VLOOKUP(DemandaEstrateg_[[#This Row],[Estado TI]],#REF!,3,FALSE)</f>
        <v>#REF!</v>
      </c>
      <c r="AU14" s="142" t="s">
        <v>108</v>
      </c>
      <c r="AV14" s="131" t="s">
        <v>46</v>
      </c>
    </row>
    <row r="15" spans="1:48" ht="49.9" customHeight="1" x14ac:dyDescent="0.2">
      <c r="A15" s="3">
        <v>11</v>
      </c>
      <c r="B15" s="77"/>
      <c r="C15" s="77"/>
      <c r="D15" s="77"/>
      <c r="E15" s="3" t="s">
        <v>90</v>
      </c>
      <c r="F15" s="148" t="s">
        <v>436</v>
      </c>
      <c r="G15" s="6"/>
      <c r="H15" s="3" t="s">
        <v>301</v>
      </c>
      <c r="I15" s="3"/>
      <c r="J15" s="3"/>
      <c r="K15" s="3"/>
      <c r="L15" s="75"/>
      <c r="M15" s="76"/>
      <c r="N15" s="77"/>
      <c r="O15" s="77"/>
      <c r="P15" s="77"/>
      <c r="Q15" s="77"/>
      <c r="R15" s="77"/>
      <c r="S15" s="77"/>
      <c r="T15" s="77"/>
      <c r="U15" s="77"/>
      <c r="V15" s="77"/>
      <c r="W15" s="15"/>
      <c r="X15" s="160"/>
      <c r="Y15" s="76"/>
      <c r="Z15" s="3"/>
      <c r="AA15" s="76"/>
      <c r="AB15" s="77"/>
      <c r="AC15" s="320"/>
      <c r="AD15" s="77"/>
      <c r="AE15" s="77"/>
      <c r="AF15" s="80"/>
      <c r="AG15" s="78"/>
      <c r="AH15" s="78">
        <f>'Portafolio P&amp;D'!Y9</f>
        <v>0</v>
      </c>
      <c r="AI15" s="81">
        <f>'Portafolio P&amp;D'!Z9</f>
        <v>0</v>
      </c>
      <c r="AJ15" s="81"/>
      <c r="AK15" s="82">
        <v>0.87</v>
      </c>
      <c r="AL15" s="82">
        <v>0.83</v>
      </c>
      <c r="AM15" s="161">
        <f>IF(DemandaEstrateg_[[#This Row],[Tipo de Requerimiento]]="Proyecto",(DemandaEstrateg_[[#This Row],[% Avance ejecutado]]-DemandaEstrateg_[[#This Row],[% Avance Planificado]])/DemandaEstrateg_[[#This Row],[% Avance Planificado]],"No aplica")</f>
        <v>-4.5977011494252915E-2</v>
      </c>
      <c r="AN15" s="116">
        <f>IF(DemandaEstrateg_[[#This Row],[Tipo de Requerimiento]]="Proyecto",(DemandaEstrateg_[[#This Row],[% Avance ejecutado]]-DemandaEstrateg_[[#This Row],[% Avance Planificado]])/DemandaEstrateg_[[#This Row],[% Avance Planificado]],"No aplica")</f>
        <v>-4.5977011494252915E-2</v>
      </c>
      <c r="AO15" s="116"/>
      <c r="AP15" s="266">
        <v>45931</v>
      </c>
      <c r="AQ15" s="80" t="s">
        <v>91</v>
      </c>
      <c r="AR15" s="80" t="s">
        <v>101</v>
      </c>
      <c r="AS15" s="199" t="s">
        <v>92</v>
      </c>
      <c r="AT15" s="79" t="e">
        <f>VLOOKUP(DemandaEstrateg_[[#This Row],[Estado TI]],#REF!,3,FALSE)</f>
        <v>#REF!</v>
      </c>
      <c r="AU15" s="293" t="s">
        <v>109</v>
      </c>
      <c r="AV15" s="137">
        <f>'Portafolio P&amp;D'!B9</f>
        <v>0</v>
      </c>
    </row>
    <row r="16" spans="1:48" ht="49.9" customHeight="1" thickBot="1" x14ac:dyDescent="0.25">
      <c r="A16" s="3">
        <v>12</v>
      </c>
      <c r="B16" s="77"/>
      <c r="C16" s="77"/>
      <c r="D16" s="77"/>
      <c r="E16" s="3" t="s">
        <v>90</v>
      </c>
      <c r="F16" s="254" t="s">
        <v>437</v>
      </c>
      <c r="G16" s="6"/>
      <c r="H16" s="3" t="s">
        <v>301</v>
      </c>
      <c r="I16" s="3"/>
      <c r="J16" s="3"/>
      <c r="K16" s="3"/>
      <c r="L16" s="75"/>
      <c r="M16" s="75"/>
      <c r="N16" s="77"/>
      <c r="O16" s="77"/>
      <c r="P16" s="77"/>
      <c r="Q16" s="77"/>
      <c r="R16" s="77"/>
      <c r="S16" s="77"/>
      <c r="T16" s="77"/>
      <c r="U16" s="77"/>
      <c r="V16" s="77"/>
      <c r="W16" s="15"/>
      <c r="X16" s="160"/>
      <c r="Y16" s="76"/>
      <c r="Z16" s="3"/>
      <c r="AA16" s="76"/>
      <c r="AB16" s="77"/>
      <c r="AC16" s="77"/>
      <c r="AD16" s="77"/>
      <c r="AE16" s="77"/>
      <c r="AF16" s="80"/>
      <c r="AG16" s="78" t="s">
        <v>95</v>
      </c>
      <c r="AH16" s="78">
        <f>'Portafolio P&amp;D'!Y12</f>
        <v>0</v>
      </c>
      <c r="AI16" s="81">
        <f>'Portafolio P&amp;D'!Z12</f>
        <v>0</v>
      </c>
      <c r="AJ16" s="81"/>
      <c r="AK16" s="82">
        <f>'Portafolio P&amp;D'!AA12</f>
        <v>1</v>
      </c>
      <c r="AL16" s="82">
        <f>'Portafolio P&amp;D'!AB12</f>
        <v>1</v>
      </c>
      <c r="AM16" s="161">
        <f>IF(DemandaEstrateg_[[#This Row],[Tipo de Requerimiento]]="Proyecto",(DemandaEstrateg_[[#This Row],[% Avance ejecutado]]-DemandaEstrateg_[[#This Row],[% Avance Planificado]])/DemandaEstrateg_[[#This Row],[% Avance Planificado]],"No aplica")</f>
        <v>0</v>
      </c>
      <c r="AN16" s="116">
        <f>IF(DemandaEstrateg_[[#This Row],[Tipo de Requerimiento]]="Proyecto",(DemandaEstrateg_[[#This Row],[% Avance ejecutado]]-DemandaEstrateg_[[#This Row],[% Avance Planificado]])/DemandaEstrateg_[[#This Row],[% Avance Planificado]],"No aplica")</f>
        <v>0</v>
      </c>
      <c r="AO16" s="116"/>
      <c r="AP16" s="170">
        <v>45748</v>
      </c>
      <c r="AQ16" s="80" t="s">
        <v>110</v>
      </c>
      <c r="AR16" s="80" t="s">
        <v>101</v>
      </c>
      <c r="AS16" s="199" t="s">
        <v>111</v>
      </c>
      <c r="AT16" s="196" t="e">
        <f>VLOOKUP(DemandaEstrateg_[[#This Row],[Estado TI]],#REF!,3,FALSE)</f>
        <v>#REF!</v>
      </c>
      <c r="AU16" s="172" t="s">
        <v>112</v>
      </c>
      <c r="AV16" s="137">
        <f>'Portafolio P&amp;D'!B12</f>
        <v>0</v>
      </c>
    </row>
    <row r="17" spans="1:48" ht="49.9" customHeight="1" thickBot="1" x14ac:dyDescent="0.25">
      <c r="A17" s="3">
        <v>13</v>
      </c>
      <c r="B17" s="77"/>
      <c r="C17" s="77"/>
      <c r="D17" s="77"/>
      <c r="E17" s="3" t="s">
        <v>90</v>
      </c>
      <c r="F17" s="148" t="s">
        <v>438</v>
      </c>
      <c r="G17" s="6"/>
      <c r="H17" s="3" t="s">
        <v>301</v>
      </c>
      <c r="I17" s="3"/>
      <c r="J17" s="3"/>
      <c r="K17" s="3"/>
      <c r="L17" s="75"/>
      <c r="M17" s="88"/>
      <c r="N17" s="77"/>
      <c r="O17" s="77"/>
      <c r="P17" s="77"/>
      <c r="Q17" s="77"/>
      <c r="R17" s="77"/>
      <c r="S17" s="77"/>
      <c r="T17" s="77"/>
      <c r="U17" s="77"/>
      <c r="V17" s="77"/>
      <c r="W17" s="15"/>
      <c r="X17" s="160"/>
      <c r="Y17" s="76"/>
      <c r="Z17" s="3"/>
      <c r="AA17" s="76"/>
      <c r="AB17" s="77"/>
      <c r="AC17" s="77"/>
      <c r="AD17" s="250"/>
      <c r="AE17" s="77"/>
      <c r="AF17" s="80"/>
      <c r="AG17" s="76"/>
      <c r="AH17" s="78">
        <f>'Portafolio P&amp;D'!Y7</f>
        <v>0</v>
      </c>
      <c r="AI17" s="81">
        <f>'Portafolio P&amp;D'!Z7</f>
        <v>0</v>
      </c>
      <c r="AJ17" s="81"/>
      <c r="AK17" s="82">
        <f>'Portafolio P&amp;D'!AA7</f>
        <v>0.88</v>
      </c>
      <c r="AL17" s="82">
        <f>'Portafolio P&amp;D'!AB7</f>
        <v>0.85</v>
      </c>
      <c r="AM17" s="161">
        <f>IF(DemandaEstrateg_[[#This Row],[Tipo de Requerimiento]]="Proyecto",(DemandaEstrateg_[[#This Row],[% Avance ejecutado]]-DemandaEstrateg_[[#This Row],[% Avance Planificado]])/DemandaEstrateg_[[#This Row],[% Avance Planificado]],"No aplica")</f>
        <v>-3.4090909090909123E-2</v>
      </c>
      <c r="AN17" s="116">
        <f>IF(DemandaEstrateg_[[#This Row],[Tipo de Requerimiento]]="Proyecto",(DemandaEstrateg_[[#This Row],[% Avance ejecutado]]-DemandaEstrateg_[[#This Row],[% Avance Planificado]])/DemandaEstrateg_[[#This Row],[% Avance Planificado]],"No aplica")</f>
        <v>-3.4090909090909123E-2</v>
      </c>
      <c r="AO17" s="116"/>
      <c r="AP17" s="169">
        <v>46062</v>
      </c>
      <c r="AQ17" s="80" t="s">
        <v>91</v>
      </c>
      <c r="AR17" s="80" t="s">
        <v>101</v>
      </c>
      <c r="AS17" s="199" t="s">
        <v>92</v>
      </c>
      <c r="AT17" s="79" t="e">
        <f>VLOOKUP(DemandaEstrateg_[[#This Row],[Estado TI]],#REF!,3,FALSE)</f>
        <v>#REF!</v>
      </c>
      <c r="AU17" s="176" t="s">
        <v>113</v>
      </c>
      <c r="AV17" s="137">
        <f>'Portafolio P&amp;D'!B7</f>
        <v>0</v>
      </c>
    </row>
    <row r="18" spans="1:48" ht="49.9" customHeight="1" thickBot="1" x14ac:dyDescent="0.25">
      <c r="A18" s="3">
        <v>14</v>
      </c>
      <c r="B18" s="77"/>
      <c r="C18" s="77"/>
      <c r="D18" s="87"/>
      <c r="E18" s="3" t="s">
        <v>94</v>
      </c>
      <c r="F18" s="254" t="s">
        <v>439</v>
      </c>
      <c r="G18" s="6"/>
      <c r="H18" s="3" t="s">
        <v>301</v>
      </c>
      <c r="I18" s="3"/>
      <c r="J18" s="3"/>
      <c r="K18" s="15"/>
      <c r="L18" s="75"/>
      <c r="M18" s="76"/>
      <c r="N18" s="77"/>
      <c r="O18" s="77"/>
      <c r="P18" s="77"/>
      <c r="Q18" s="77"/>
      <c r="R18" s="77"/>
      <c r="S18" s="77"/>
      <c r="T18" s="77"/>
      <c r="U18" s="77"/>
      <c r="V18" s="77"/>
      <c r="W18" s="85"/>
      <c r="X18" s="36"/>
      <c r="Y18" s="76"/>
      <c r="Z18" s="3"/>
      <c r="AA18" s="88"/>
      <c r="AB18" s="77"/>
      <c r="AC18" s="77"/>
      <c r="AD18" s="77"/>
      <c r="AE18" s="77"/>
      <c r="AF18" s="80"/>
      <c r="AG18" s="76"/>
      <c r="AH18" s="78">
        <v>45421</v>
      </c>
      <c r="AI18" s="157">
        <v>45723</v>
      </c>
      <c r="AJ18" s="157"/>
      <c r="AK18" s="82" t="s">
        <v>95</v>
      </c>
      <c r="AL18" s="82" t="s">
        <v>95</v>
      </c>
      <c r="AM18" s="161" t="str">
        <f>IF(DemandaEstrateg_[[#This Row],[Tipo de Requerimiento]]="Proyecto",(DemandaEstrateg_[[#This Row],[% Avance ejecutado]]-DemandaEstrateg_[[#This Row],[% Avance Planificado]])/DemandaEstrateg_[[#This Row],[% Avance Planificado]],"No aplica")</f>
        <v>No aplica</v>
      </c>
      <c r="AN18" s="161" t="str">
        <f>IF(DemandaEstrateg_[[#This Row],[Tipo de Requerimiento]]="Proyecto",(DemandaEstrateg_[[#This Row],[% Avance ejecutado]]-DemandaEstrateg_[[#This Row],[% Avance Planificado]])/DemandaEstrateg_[[#This Row],[% Avance Planificado]],"No aplica")</f>
        <v>No aplica</v>
      </c>
      <c r="AO18" s="116"/>
      <c r="AP18" s="235">
        <v>46023</v>
      </c>
      <c r="AQ18" s="117" t="s">
        <v>91</v>
      </c>
      <c r="AR18" s="80" t="s">
        <v>99</v>
      </c>
      <c r="AS18" s="86" t="e">
        <f>VLOOKUP(DemandaEstrateg_[[#This Row],[Últ. Estado CQ 30.04]],#REF!,3,FALSE)</f>
        <v>#REF!</v>
      </c>
      <c r="AT18" s="79" t="e">
        <f>VLOOKUP(DemandaEstrateg_[[#This Row],[Estado TI]],#REF!,3,FALSE)</f>
        <v>#REF!</v>
      </c>
      <c r="AU18" s="18" t="s">
        <v>114</v>
      </c>
      <c r="AV18" s="131" t="s">
        <v>46</v>
      </c>
    </row>
    <row r="19" spans="1:48" ht="49.9" customHeight="1" thickBot="1" x14ac:dyDescent="0.25">
      <c r="A19" s="3">
        <v>15</v>
      </c>
      <c r="B19" s="77"/>
      <c r="C19" s="77"/>
      <c r="D19" s="87"/>
      <c r="E19" s="3" t="s">
        <v>94</v>
      </c>
      <c r="F19" s="148" t="s">
        <v>440</v>
      </c>
      <c r="G19" s="6"/>
      <c r="H19" s="3" t="s">
        <v>301</v>
      </c>
      <c r="I19" s="3"/>
      <c r="J19" s="3"/>
      <c r="K19" s="15"/>
      <c r="L19" s="75"/>
      <c r="M19" s="88"/>
      <c r="N19" s="77"/>
      <c r="O19" s="77"/>
      <c r="P19" s="77"/>
      <c r="Q19" s="77"/>
      <c r="R19" s="77"/>
      <c r="S19" s="77"/>
      <c r="T19" s="77"/>
      <c r="U19" s="77"/>
      <c r="V19" s="77"/>
      <c r="W19" s="85"/>
      <c r="X19" s="36"/>
      <c r="Y19" s="76"/>
      <c r="Z19" s="3"/>
      <c r="AA19" s="76"/>
      <c r="AB19" s="77"/>
      <c r="AC19" s="77"/>
      <c r="AD19" s="77"/>
      <c r="AE19" s="77"/>
      <c r="AF19" s="80"/>
      <c r="AG19" s="78"/>
      <c r="AH19" s="78">
        <v>45442</v>
      </c>
      <c r="AI19" s="157">
        <v>45723</v>
      </c>
      <c r="AJ19" s="157"/>
      <c r="AK19" s="82" t="s">
        <v>95</v>
      </c>
      <c r="AL19" s="82" t="s">
        <v>95</v>
      </c>
      <c r="AM19" s="161" t="str">
        <f>IF(DemandaEstrateg_[[#This Row],[Tipo de Requerimiento]]="Proyecto",(DemandaEstrateg_[[#This Row],[% Avance ejecutado]]-DemandaEstrateg_[[#This Row],[% Avance Planificado]])/DemandaEstrateg_[[#This Row],[% Avance Planificado]],"No aplica")</f>
        <v>No aplica</v>
      </c>
      <c r="AN19" s="161" t="str">
        <f>IF(DemandaEstrateg_[[#This Row],[Tipo de Requerimiento]]="Proyecto",(DemandaEstrateg_[[#This Row],[% Avance ejecutado]]-DemandaEstrateg_[[#This Row],[% Avance Planificado]])/DemandaEstrateg_[[#This Row],[% Avance Planificado]],"No aplica")</f>
        <v>No aplica</v>
      </c>
      <c r="AO19" s="116"/>
      <c r="AP19" s="235" t="s">
        <v>46</v>
      </c>
      <c r="AQ19" s="235" t="s">
        <v>46</v>
      </c>
      <c r="AR19" s="80" t="s">
        <v>46</v>
      </c>
      <c r="AS19" s="273" t="s">
        <v>115</v>
      </c>
      <c r="AT19" s="274" t="s">
        <v>47</v>
      </c>
      <c r="AU19" s="143" t="s">
        <v>116</v>
      </c>
      <c r="AV19" s="131" t="s">
        <v>46</v>
      </c>
    </row>
    <row r="20" spans="1:48" ht="49.9" customHeight="1" thickBot="1" x14ac:dyDescent="0.25">
      <c r="A20" s="3">
        <v>16</v>
      </c>
      <c r="B20" s="77"/>
      <c r="C20" s="77"/>
      <c r="D20" s="87"/>
      <c r="E20" s="3" t="s">
        <v>94</v>
      </c>
      <c r="F20" s="254" t="s">
        <v>441</v>
      </c>
      <c r="G20" s="6"/>
      <c r="H20" s="3" t="s">
        <v>301</v>
      </c>
      <c r="I20" s="3"/>
      <c r="J20" s="3"/>
      <c r="K20" s="15"/>
      <c r="L20" s="75"/>
      <c r="M20" s="88"/>
      <c r="N20" s="77"/>
      <c r="O20" s="77"/>
      <c r="P20" s="77"/>
      <c r="Q20" s="77"/>
      <c r="R20" s="77"/>
      <c r="S20" s="77"/>
      <c r="T20" s="77"/>
      <c r="U20" s="77"/>
      <c r="V20" s="77"/>
      <c r="W20" s="85"/>
      <c r="X20" s="36"/>
      <c r="Y20" s="76"/>
      <c r="Z20" s="3"/>
      <c r="AA20" s="76"/>
      <c r="AB20" s="77"/>
      <c r="AC20" s="77"/>
      <c r="AD20" s="77"/>
      <c r="AE20" s="77"/>
      <c r="AF20" s="80"/>
      <c r="AG20" s="78"/>
      <c r="AH20" s="78">
        <v>45442</v>
      </c>
      <c r="AI20" s="157">
        <v>45723</v>
      </c>
      <c r="AJ20" s="157"/>
      <c r="AK20" s="82" t="s">
        <v>95</v>
      </c>
      <c r="AL20" s="82" t="s">
        <v>95</v>
      </c>
      <c r="AM20" s="161" t="str">
        <f>IF(DemandaEstrateg_[[#This Row],[Tipo de Requerimiento]]="Proyecto",(DemandaEstrateg_[[#This Row],[% Avance ejecutado]]-DemandaEstrateg_[[#This Row],[% Avance Planificado]])/DemandaEstrateg_[[#This Row],[% Avance Planificado]],"No aplica")</f>
        <v>No aplica</v>
      </c>
      <c r="AN20" s="161" t="str">
        <f>IF(DemandaEstrateg_[[#This Row],[Tipo de Requerimiento]]="Proyecto",(DemandaEstrateg_[[#This Row],[% Avance ejecutado]]-DemandaEstrateg_[[#This Row],[% Avance Planificado]])/DemandaEstrateg_[[#This Row],[% Avance Planificado]],"No aplica")</f>
        <v>No aplica</v>
      </c>
      <c r="AO20" s="116"/>
      <c r="AP20" s="236">
        <v>46082</v>
      </c>
      <c r="AQ20" s="80" t="s">
        <v>91</v>
      </c>
      <c r="AR20" s="80" t="s">
        <v>46</v>
      </c>
      <c r="AS20" s="273" t="s">
        <v>115</v>
      </c>
      <c r="AT20" s="274" t="e">
        <f>VLOOKUP(DemandaEstrateg_[[#This Row],[Estado TI]],#REF!,3,FALSE)</f>
        <v>#REF!</v>
      </c>
      <c r="AU20" s="18" t="s">
        <v>117</v>
      </c>
      <c r="AV20" s="131" t="s">
        <v>46</v>
      </c>
    </row>
    <row r="21" spans="1:48" ht="49.9" customHeight="1" thickBot="1" x14ac:dyDescent="0.25">
      <c r="A21" s="3">
        <v>17</v>
      </c>
      <c r="B21" s="77"/>
      <c r="C21" s="77"/>
      <c r="D21" s="87"/>
      <c r="E21" s="3" t="s">
        <v>94</v>
      </c>
      <c r="F21" s="148" t="s">
        <v>442</v>
      </c>
      <c r="G21" s="6"/>
      <c r="H21" s="3" t="s">
        <v>301</v>
      </c>
      <c r="I21" s="3"/>
      <c r="J21" s="3"/>
      <c r="K21" s="15"/>
      <c r="L21" s="75"/>
      <c r="M21" s="88"/>
      <c r="N21" s="77"/>
      <c r="O21" s="77"/>
      <c r="P21" s="77"/>
      <c r="Q21" s="77"/>
      <c r="R21" s="77"/>
      <c r="S21" s="77"/>
      <c r="T21" s="77"/>
      <c r="U21" s="77"/>
      <c r="V21" s="77"/>
      <c r="W21" s="85"/>
      <c r="X21" s="36"/>
      <c r="Y21" s="76"/>
      <c r="Z21" s="3"/>
      <c r="AA21" s="76"/>
      <c r="AB21" s="3"/>
      <c r="AC21" s="3"/>
      <c r="AD21" s="77"/>
      <c r="AE21" s="77"/>
      <c r="AF21" s="80"/>
      <c r="AG21" s="92"/>
      <c r="AH21" s="78">
        <v>45524</v>
      </c>
      <c r="AI21" s="157">
        <v>45777</v>
      </c>
      <c r="AJ21" s="157"/>
      <c r="AK21" s="82" t="s">
        <v>95</v>
      </c>
      <c r="AL21" s="82" t="s">
        <v>95</v>
      </c>
      <c r="AM21" s="161" t="str">
        <f>IF(DemandaEstrateg_[[#This Row],[Tipo de Requerimiento]]="Proyecto",(DemandaEstrateg_[[#This Row],[% Avance ejecutado]]-DemandaEstrateg_[[#This Row],[% Avance Planificado]])/DemandaEstrateg_[[#This Row],[% Avance Planificado]],"No aplica")</f>
        <v>No aplica</v>
      </c>
      <c r="AN21" s="161" t="str">
        <f>IF(DemandaEstrateg_[[#This Row],[Tipo de Requerimiento]]="Proyecto",(DemandaEstrateg_[[#This Row],[% Avance ejecutado]]-DemandaEstrateg_[[#This Row],[% Avance Planificado]])/DemandaEstrateg_[[#This Row],[% Avance Planificado]],"No aplica")</f>
        <v>No aplica</v>
      </c>
      <c r="AO21" s="116"/>
      <c r="AP21" s="116"/>
      <c r="AQ21" s="80" t="s">
        <v>91</v>
      </c>
      <c r="AR21" s="80" t="s">
        <v>96</v>
      </c>
      <c r="AS21" s="86" t="e">
        <f>VLOOKUP(DemandaEstrateg_[[#This Row],[Últ. Estado CQ 30.04]],#REF!,3,FALSE)</f>
        <v>#REF!</v>
      </c>
      <c r="AT21" s="79" t="e">
        <f>VLOOKUP(DemandaEstrateg_[[#This Row],[Estado TI]],#REF!,3,FALSE)</f>
        <v>#REF!</v>
      </c>
      <c r="AU21" s="143" t="s">
        <v>118</v>
      </c>
      <c r="AV21" s="131" t="s">
        <v>46</v>
      </c>
    </row>
    <row r="22" spans="1:48" ht="49.9" customHeight="1" x14ac:dyDescent="0.2">
      <c r="A22" s="3">
        <v>18</v>
      </c>
      <c r="B22" s="77"/>
      <c r="C22" s="77"/>
      <c r="D22" s="87"/>
      <c r="E22" s="3" t="s">
        <v>90</v>
      </c>
      <c r="F22" s="254" t="s">
        <v>443</v>
      </c>
      <c r="G22" s="6"/>
      <c r="H22" s="3" t="s">
        <v>301</v>
      </c>
      <c r="I22" s="3"/>
      <c r="J22" s="3"/>
      <c r="K22" s="3"/>
      <c r="L22" s="93"/>
      <c r="M22" s="94"/>
      <c r="N22" s="77"/>
      <c r="O22" s="77"/>
      <c r="P22" s="77"/>
      <c r="Q22" s="77"/>
      <c r="R22" s="77"/>
      <c r="S22" s="77"/>
      <c r="T22" s="77"/>
      <c r="U22" s="77"/>
      <c r="V22" s="77"/>
      <c r="W22" s="15"/>
      <c r="X22" s="160"/>
      <c r="Y22" s="76"/>
      <c r="Z22" s="3"/>
      <c r="AA22" s="76"/>
      <c r="AB22" s="77"/>
      <c r="AC22" s="77"/>
      <c r="AD22" s="77"/>
      <c r="AE22" s="77"/>
      <c r="AF22" s="80"/>
      <c r="AG22" s="76"/>
      <c r="AH22" s="78">
        <v>45427</v>
      </c>
      <c r="AI22" s="81">
        <v>46044</v>
      </c>
      <c r="AJ22" s="81"/>
      <c r="AK22" s="82">
        <v>1</v>
      </c>
      <c r="AL22" s="82">
        <v>0.94</v>
      </c>
      <c r="AM22" s="161">
        <f>IF(DemandaEstrateg_[[#This Row],[Tipo de Requerimiento]]="Proyecto",(DemandaEstrateg_[[#This Row],[% Avance ejecutado]]-DemandaEstrateg_[[#This Row],[% Avance Planificado]])/DemandaEstrateg_[[#This Row],[% Avance Planificado]],"No aplica")</f>
        <v>-6.0000000000000053E-2</v>
      </c>
      <c r="AN22" s="116">
        <f>IF(DemandaEstrateg_[[#This Row],[Tipo de Requerimiento]]="Proyecto",(DemandaEstrateg_[[#This Row],[% Avance ejecutado]]-DemandaEstrateg_[[#This Row],[% Avance Planificado]])/DemandaEstrateg_[[#This Row],[% Avance Planificado]],"No aplica")</f>
        <v>-6.0000000000000053E-2</v>
      </c>
      <c r="AO22" s="116"/>
      <c r="AP22" s="294">
        <v>46023</v>
      </c>
      <c r="AQ22" s="80" t="s">
        <v>91</v>
      </c>
      <c r="AR22" s="80" t="s">
        <v>103</v>
      </c>
      <c r="AS22" s="199" t="s">
        <v>119</v>
      </c>
      <c r="AT22" s="79" t="e">
        <f>VLOOKUP(DemandaEstrateg_[[#This Row],[Estado TI]],#REF!,3,FALSE)</f>
        <v>#REF!</v>
      </c>
      <c r="AU22" s="176" t="s">
        <v>120</v>
      </c>
      <c r="AV22" s="137">
        <f>'Portafolio P&amp;D'!B10</f>
        <v>0</v>
      </c>
    </row>
    <row r="23" spans="1:48" ht="49.9" customHeight="1" thickBot="1" x14ac:dyDescent="0.25">
      <c r="A23" s="3">
        <v>19</v>
      </c>
      <c r="B23" s="77"/>
      <c r="C23" s="77"/>
      <c r="D23" s="77"/>
      <c r="E23" s="3" t="s">
        <v>90</v>
      </c>
      <c r="F23" s="148" t="s">
        <v>444</v>
      </c>
      <c r="G23" s="6"/>
      <c r="H23" s="3" t="s">
        <v>301</v>
      </c>
      <c r="I23" s="89"/>
      <c r="J23" s="3"/>
      <c r="K23" s="3"/>
      <c r="L23" s="95"/>
      <c r="M23" s="88"/>
      <c r="N23" s="77"/>
      <c r="O23" s="77"/>
      <c r="P23" s="77"/>
      <c r="Q23" s="77"/>
      <c r="R23" s="77"/>
      <c r="S23" s="77"/>
      <c r="T23" s="77"/>
      <c r="U23" s="77"/>
      <c r="V23" s="77"/>
      <c r="W23" s="15"/>
      <c r="X23" s="160"/>
      <c r="Y23" s="76"/>
      <c r="Z23" s="3"/>
      <c r="AA23" s="76"/>
      <c r="AB23" s="77"/>
      <c r="AC23" s="77"/>
      <c r="AD23" s="77"/>
      <c r="AE23" s="77"/>
      <c r="AF23" s="80"/>
      <c r="AG23" s="78" t="s">
        <v>95</v>
      </c>
      <c r="AH23" s="78">
        <f>'Portafolio P&amp;D'!Y33</f>
        <v>0</v>
      </c>
      <c r="AI23" s="81">
        <f>'Portafolio P&amp;D'!Z33</f>
        <v>0</v>
      </c>
      <c r="AJ23" s="81"/>
      <c r="AK23" s="82">
        <f>'Portafolio P&amp;D'!AA33</f>
        <v>0.9</v>
      </c>
      <c r="AL23" s="82">
        <f>'Portafolio P&amp;D'!AB33</f>
        <v>0.26</v>
      </c>
      <c r="AM23" s="161">
        <f>IF(DemandaEstrateg_[[#This Row],[Tipo de Requerimiento]]="Proyecto",(DemandaEstrateg_[[#This Row],[% Avance ejecutado]]-DemandaEstrateg_[[#This Row],[% Avance Planificado]])/DemandaEstrateg_[[#This Row],[% Avance Planificado]],"No aplica")</f>
        <v>-0.71111111111111114</v>
      </c>
      <c r="AN23" s="116">
        <f>IF(DemandaEstrateg_[[#This Row],[Tipo de Requerimiento]]="Proyecto",(DemandaEstrateg_[[#This Row],[% Avance ejecutado]]-DemandaEstrateg_[[#This Row],[% Avance Planificado]])/DemandaEstrateg_[[#This Row],[% Avance Planificado]],"No aplica")</f>
        <v>-0.71111111111111114</v>
      </c>
      <c r="AO23" s="116"/>
      <c r="AP23" s="170">
        <v>45839</v>
      </c>
      <c r="AQ23" s="80" t="s">
        <v>110</v>
      </c>
      <c r="AR23" s="80" t="s">
        <v>101</v>
      </c>
      <c r="AS23" s="199" t="s">
        <v>111</v>
      </c>
      <c r="AT23" s="196" t="e">
        <f>VLOOKUP(DemandaEstrateg_[[#This Row],[Estado TI]],#REF!,3,FALSE)</f>
        <v>#REF!</v>
      </c>
      <c r="AU23" s="310" t="s">
        <v>121</v>
      </c>
      <c r="AV23" s="137">
        <f>'Portafolio P&amp;D'!B33</f>
        <v>0</v>
      </c>
    </row>
    <row r="24" spans="1:48" ht="49.9" customHeight="1" thickBot="1" x14ac:dyDescent="0.25">
      <c r="A24" s="3">
        <v>20</v>
      </c>
      <c r="B24" s="77"/>
      <c r="C24" s="77"/>
      <c r="D24" s="87"/>
      <c r="E24" s="3" t="s">
        <v>94</v>
      </c>
      <c r="F24" s="254" t="s">
        <v>445</v>
      </c>
      <c r="G24" s="96"/>
      <c r="H24" s="3" t="s">
        <v>301</v>
      </c>
      <c r="I24" s="3"/>
      <c r="J24" s="3"/>
      <c r="K24" s="15"/>
      <c r="L24" s="75"/>
      <c r="M24" s="88"/>
      <c r="N24" s="77"/>
      <c r="O24" s="77"/>
      <c r="P24" s="77"/>
      <c r="Q24" s="77"/>
      <c r="R24" s="77"/>
      <c r="S24" s="77"/>
      <c r="T24" s="77"/>
      <c r="U24" s="77"/>
      <c r="V24" s="77"/>
      <c r="W24" s="85"/>
      <c r="X24" s="36"/>
      <c r="Y24" s="76"/>
      <c r="Z24" s="3"/>
      <c r="AA24" s="76"/>
      <c r="AB24" s="77"/>
      <c r="AC24" s="77"/>
      <c r="AD24" s="77"/>
      <c r="AE24" s="77"/>
      <c r="AF24" s="80"/>
      <c r="AG24" s="76"/>
      <c r="AH24" s="78">
        <v>45505</v>
      </c>
      <c r="AI24" s="157">
        <v>45723</v>
      </c>
      <c r="AJ24" s="157"/>
      <c r="AK24" s="82" t="s">
        <v>95</v>
      </c>
      <c r="AL24" s="82" t="s">
        <v>95</v>
      </c>
      <c r="AM24" s="161" t="str">
        <f>IF(DemandaEstrateg_[[#This Row],[Tipo de Requerimiento]]="Proyecto",(DemandaEstrateg_[[#This Row],[% Avance ejecutado]]-DemandaEstrateg_[[#This Row],[% Avance Planificado]])/DemandaEstrateg_[[#This Row],[% Avance Planificado]],"No aplica")</f>
        <v>No aplica</v>
      </c>
      <c r="AN24" s="161" t="str">
        <f>IF(DemandaEstrateg_[[#This Row],[Tipo de Requerimiento]]="Proyecto",(DemandaEstrateg_[[#This Row],[% Avance ejecutado]]-DemandaEstrateg_[[#This Row],[% Avance Planificado]])/DemandaEstrateg_[[#This Row],[% Avance Planificado]],"No aplica")</f>
        <v>No aplica</v>
      </c>
      <c r="AO24" s="116"/>
      <c r="AP24" s="235">
        <v>46023</v>
      </c>
      <c r="AQ24" s="117" t="s">
        <v>91</v>
      </c>
      <c r="AR24" s="80" t="s">
        <v>99</v>
      </c>
      <c r="AS24" s="86" t="e">
        <f>VLOOKUP(DemandaEstrateg_[[#This Row],[Últ. Estado CQ 30.04]],#REF!,3,FALSE)</f>
        <v>#REF!</v>
      </c>
      <c r="AT24" s="79" t="e">
        <f>VLOOKUP(DemandaEstrateg_[[#This Row],[Estado TI]],#REF!,3,FALSE)</f>
        <v>#REF!</v>
      </c>
      <c r="AU24" s="143" t="s">
        <v>122</v>
      </c>
      <c r="AV24" s="131" t="s">
        <v>46</v>
      </c>
    </row>
    <row r="25" spans="1:48" ht="49.9" customHeight="1" thickBot="1" x14ac:dyDescent="0.25">
      <c r="A25" s="3">
        <v>21</v>
      </c>
      <c r="B25" s="77"/>
      <c r="C25" s="86"/>
      <c r="D25" s="87"/>
      <c r="E25" s="3" t="s">
        <v>94</v>
      </c>
      <c r="F25" s="148" t="s">
        <v>446</v>
      </c>
      <c r="G25" s="6"/>
      <c r="H25" s="3" t="s">
        <v>302</v>
      </c>
      <c r="I25" s="3"/>
      <c r="J25" s="3"/>
      <c r="K25" s="15"/>
      <c r="L25" s="75"/>
      <c r="M25" s="88"/>
      <c r="N25" s="77"/>
      <c r="O25" s="77"/>
      <c r="P25" s="77"/>
      <c r="Q25" s="77"/>
      <c r="R25" s="77"/>
      <c r="S25" s="77"/>
      <c r="T25" s="77"/>
      <c r="U25" s="77"/>
      <c r="V25" s="77"/>
      <c r="W25" s="85"/>
      <c r="X25" s="36"/>
      <c r="Y25" s="76"/>
      <c r="Z25" s="3"/>
      <c r="AA25" s="76"/>
      <c r="AB25" s="77"/>
      <c r="AC25" s="77"/>
      <c r="AD25" s="77"/>
      <c r="AE25" s="77"/>
      <c r="AF25" s="80"/>
      <c r="AG25" s="76"/>
      <c r="AH25" s="78">
        <v>45513</v>
      </c>
      <c r="AI25" s="157">
        <v>45723</v>
      </c>
      <c r="AJ25" s="157">
        <v>46050</v>
      </c>
      <c r="AK25" s="82" t="s">
        <v>95</v>
      </c>
      <c r="AL25" s="82" t="s">
        <v>95</v>
      </c>
      <c r="AM25" s="161" t="str">
        <f>IF(DemandaEstrateg_[[#This Row],[Tipo de Requerimiento]]="Proyecto",(DemandaEstrateg_[[#This Row],[% Avance ejecutado]]-DemandaEstrateg_[[#This Row],[% Avance Planificado]])/DemandaEstrateg_[[#This Row],[% Avance Planificado]],"No aplica")</f>
        <v>No aplica</v>
      </c>
      <c r="AN25" s="161" t="str">
        <f>IF(DemandaEstrateg_[[#This Row],[Tipo de Requerimiento]]="Proyecto",(DemandaEstrateg_[[#This Row],[% Avance ejecutado]]-DemandaEstrateg_[[#This Row],[% Avance Planificado]])/DemandaEstrateg_[[#This Row],[% Avance Planificado]],"No aplica")</f>
        <v>No aplica</v>
      </c>
      <c r="AO25" s="116"/>
      <c r="AP25" s="236">
        <v>45992</v>
      </c>
      <c r="AQ25" s="80" t="s">
        <v>105</v>
      </c>
      <c r="AR25" s="80" t="s">
        <v>106</v>
      </c>
      <c r="AS25" s="86" t="e">
        <f>VLOOKUP(DemandaEstrateg_[[#This Row],[Últ. Estado CQ 30.04]],#REF!,3,FALSE)</f>
        <v>#REF!</v>
      </c>
      <c r="AT25" s="79" t="e">
        <f>VLOOKUP(DemandaEstrateg_[[#This Row],[Estado TI]],#REF!,3,FALSE)</f>
        <v>#REF!</v>
      </c>
      <c r="AU25" s="145" t="s">
        <v>123</v>
      </c>
      <c r="AV25" s="131" t="s">
        <v>46</v>
      </c>
    </row>
    <row r="26" spans="1:48" ht="49.9" customHeight="1" thickBot="1" x14ac:dyDescent="0.25">
      <c r="A26" s="3">
        <v>22</v>
      </c>
      <c r="B26" s="77"/>
      <c r="C26" s="77"/>
      <c r="D26" s="87"/>
      <c r="E26" s="3" t="s">
        <v>94</v>
      </c>
      <c r="F26" s="254" t="s">
        <v>447</v>
      </c>
      <c r="G26" s="6"/>
      <c r="H26" s="3" t="s">
        <v>302</v>
      </c>
      <c r="I26" s="3"/>
      <c r="J26" s="3"/>
      <c r="K26" s="15"/>
      <c r="L26" s="75"/>
      <c r="M26" s="76"/>
      <c r="N26" s="77"/>
      <c r="O26" s="77"/>
      <c r="P26" s="77"/>
      <c r="Q26" s="77"/>
      <c r="R26" s="77"/>
      <c r="S26" s="77"/>
      <c r="T26" s="77"/>
      <c r="U26" s="77"/>
      <c r="V26" s="77"/>
      <c r="W26" s="85"/>
      <c r="X26" s="36"/>
      <c r="Y26" s="76"/>
      <c r="Z26" s="3"/>
      <c r="AA26" s="76"/>
      <c r="AB26" s="3"/>
      <c r="AC26" s="77"/>
      <c r="AD26" s="77"/>
      <c r="AE26" s="77"/>
      <c r="AF26" s="80"/>
      <c r="AG26" s="76"/>
      <c r="AH26" s="78">
        <v>45520</v>
      </c>
      <c r="AI26" s="157">
        <v>45723</v>
      </c>
      <c r="AJ26" s="157"/>
      <c r="AK26" s="82" t="s">
        <v>95</v>
      </c>
      <c r="AL26" s="82" t="s">
        <v>95</v>
      </c>
      <c r="AM26" s="161" t="str">
        <f>IF(DemandaEstrateg_[[#This Row],[Tipo de Requerimiento]]="Proyecto",(DemandaEstrateg_[[#This Row],[% Avance ejecutado]]-DemandaEstrateg_[[#This Row],[% Avance Planificado]])/DemandaEstrateg_[[#This Row],[% Avance Planificado]],"No aplica")</f>
        <v>No aplica</v>
      </c>
      <c r="AN26" s="161" t="str">
        <f>IF(DemandaEstrateg_[[#This Row],[Tipo de Requerimiento]]="Proyecto",(DemandaEstrateg_[[#This Row],[% Avance ejecutado]]-DemandaEstrateg_[[#This Row],[% Avance Planificado]])/DemandaEstrateg_[[#This Row],[% Avance Planificado]],"No aplica")</f>
        <v>No aplica</v>
      </c>
      <c r="AO26" s="116"/>
      <c r="AP26" s="235">
        <v>46023</v>
      </c>
      <c r="AQ26" s="117" t="s">
        <v>91</v>
      </c>
      <c r="AR26" s="80" t="s">
        <v>99</v>
      </c>
      <c r="AS26" s="86" t="e">
        <f>VLOOKUP(DemandaEstrateg_[[#This Row],[Últ. Estado CQ 30.04]],#REF!,3,FALSE)</f>
        <v>#REF!</v>
      </c>
      <c r="AT26" s="79" t="e">
        <f>VLOOKUP(DemandaEstrateg_[[#This Row],[Estado TI]],#REF!,3,FALSE)</f>
        <v>#REF!</v>
      </c>
      <c r="AU26" s="18" t="s">
        <v>124</v>
      </c>
      <c r="AV26" s="131" t="s">
        <v>46</v>
      </c>
    </row>
    <row r="27" spans="1:48" ht="49.9" customHeight="1" thickBot="1" x14ac:dyDescent="0.25">
      <c r="A27" s="3">
        <v>23</v>
      </c>
      <c r="B27" s="77"/>
      <c r="C27" s="77"/>
      <c r="D27" s="87"/>
      <c r="E27" s="3" t="s">
        <v>94</v>
      </c>
      <c r="F27" s="148" t="s">
        <v>448</v>
      </c>
      <c r="G27" s="6"/>
      <c r="H27" s="3" t="s">
        <v>302</v>
      </c>
      <c r="I27" s="3"/>
      <c r="J27" s="3"/>
      <c r="K27" s="15"/>
      <c r="L27" s="75"/>
      <c r="M27" s="76"/>
      <c r="N27" s="77"/>
      <c r="O27" s="77"/>
      <c r="P27" s="77"/>
      <c r="Q27" s="77"/>
      <c r="R27" s="77"/>
      <c r="S27" s="77"/>
      <c r="T27" s="77"/>
      <c r="U27" s="77"/>
      <c r="V27" s="77"/>
      <c r="W27" s="85"/>
      <c r="X27" s="36"/>
      <c r="Y27" s="76"/>
      <c r="Z27" s="3"/>
      <c r="AA27" s="76"/>
      <c r="AB27" s="3"/>
      <c r="AC27" s="77"/>
      <c r="AD27" s="77"/>
      <c r="AE27" s="77"/>
      <c r="AF27" s="80"/>
      <c r="AG27" s="76"/>
      <c r="AH27" s="78">
        <v>45520</v>
      </c>
      <c r="AI27" s="157">
        <v>45723</v>
      </c>
      <c r="AJ27" s="157"/>
      <c r="AK27" s="82" t="s">
        <v>95</v>
      </c>
      <c r="AL27" s="82" t="s">
        <v>95</v>
      </c>
      <c r="AM27" s="161" t="str">
        <f>IF(DemandaEstrateg_[[#This Row],[Tipo de Requerimiento]]="Proyecto",(DemandaEstrateg_[[#This Row],[% Avance ejecutado]]-DemandaEstrateg_[[#This Row],[% Avance Planificado]])/DemandaEstrateg_[[#This Row],[% Avance Planificado]],"No aplica")</f>
        <v>No aplica</v>
      </c>
      <c r="AN27" s="161" t="str">
        <f>IF(DemandaEstrateg_[[#This Row],[Tipo de Requerimiento]]="Proyecto",(DemandaEstrateg_[[#This Row],[% Avance ejecutado]]-DemandaEstrateg_[[#This Row],[% Avance Planificado]])/DemandaEstrateg_[[#This Row],[% Avance Planificado]],"No aplica")</f>
        <v>No aplica</v>
      </c>
      <c r="AO27" s="116"/>
      <c r="AP27" s="235">
        <v>46023</v>
      </c>
      <c r="AQ27" s="117" t="s">
        <v>91</v>
      </c>
      <c r="AR27" s="80" t="s">
        <v>99</v>
      </c>
      <c r="AS27" s="86" t="e">
        <f>VLOOKUP(DemandaEstrateg_[[#This Row],[Últ. Estado CQ 30.04]],#REF!,3,FALSE)</f>
        <v>#REF!</v>
      </c>
      <c r="AT27" s="79" t="e">
        <f>VLOOKUP(DemandaEstrateg_[[#This Row],[Estado TI]],#REF!,3,FALSE)</f>
        <v>#REF!</v>
      </c>
      <c r="AU27" s="18" t="s">
        <v>124</v>
      </c>
      <c r="AV27" s="131" t="s">
        <v>46</v>
      </c>
    </row>
    <row r="28" spans="1:48" ht="49.9" customHeight="1" thickBot="1" x14ac:dyDescent="0.25">
      <c r="A28" s="3">
        <v>24</v>
      </c>
      <c r="B28" s="86"/>
      <c r="C28" s="86"/>
      <c r="D28" s="87"/>
      <c r="E28" s="3" t="s">
        <v>94</v>
      </c>
      <c r="F28" s="254" t="s">
        <v>449</v>
      </c>
      <c r="G28" s="6"/>
      <c r="H28" s="3" t="s">
        <v>302</v>
      </c>
      <c r="I28" s="3"/>
      <c r="J28" s="3"/>
      <c r="K28" s="15"/>
      <c r="L28" s="75"/>
      <c r="M28" s="88"/>
      <c r="N28" s="77"/>
      <c r="O28" s="77"/>
      <c r="P28" s="77"/>
      <c r="Q28" s="77"/>
      <c r="R28" s="77"/>
      <c r="S28" s="77"/>
      <c r="T28" s="77"/>
      <c r="U28" s="77"/>
      <c r="V28" s="77"/>
      <c r="W28" s="85"/>
      <c r="X28" s="36"/>
      <c r="Y28" s="76"/>
      <c r="Z28" s="3"/>
      <c r="AA28" s="76"/>
      <c r="AB28" s="77"/>
      <c r="AC28" s="77"/>
      <c r="AD28" s="77"/>
      <c r="AE28" s="77"/>
      <c r="AF28" s="80"/>
      <c r="AG28" s="76"/>
      <c r="AH28" s="78">
        <v>45547</v>
      </c>
      <c r="AI28" s="157">
        <v>45723</v>
      </c>
      <c r="AJ28" s="157"/>
      <c r="AK28" s="82" t="s">
        <v>95</v>
      </c>
      <c r="AL28" s="82" t="s">
        <v>95</v>
      </c>
      <c r="AM28" s="161" t="str">
        <f>IF(DemandaEstrateg_[[#This Row],[Tipo de Requerimiento]]="Proyecto",(DemandaEstrateg_[[#This Row],[% Avance ejecutado]]-DemandaEstrateg_[[#This Row],[% Avance Planificado]])/DemandaEstrateg_[[#This Row],[% Avance Planificado]],"No aplica")</f>
        <v>No aplica</v>
      </c>
      <c r="AN28" s="161" t="str">
        <f>IF(DemandaEstrateg_[[#This Row],[Tipo de Requerimiento]]="Proyecto",(DemandaEstrateg_[[#This Row],[% Avance ejecutado]]-DemandaEstrateg_[[#This Row],[% Avance Planificado]])/DemandaEstrateg_[[#This Row],[% Avance Planificado]],"No aplica")</f>
        <v>No aplica</v>
      </c>
      <c r="AO28" s="116"/>
      <c r="AP28" s="236">
        <v>45992</v>
      </c>
      <c r="AQ28" s="80" t="s">
        <v>105</v>
      </c>
      <c r="AR28" s="298" t="s">
        <v>125</v>
      </c>
      <c r="AS28" s="273" t="e">
        <f>VLOOKUP(DemandaEstrateg_[[#This Row],[Últ. Estado CQ 30.04]],#REF!,3,FALSE)</f>
        <v>#REF!</v>
      </c>
      <c r="AT28" s="274" t="e">
        <f>VLOOKUP(DemandaEstrateg_[[#This Row],[Estado TI]],#REF!,3,FALSE)</f>
        <v>#REF!</v>
      </c>
      <c r="AU28" s="143" t="s">
        <v>126</v>
      </c>
      <c r="AV28" s="131" t="s">
        <v>46</v>
      </c>
    </row>
    <row r="29" spans="1:48" ht="49.9" customHeight="1" x14ac:dyDescent="0.2">
      <c r="A29" s="3">
        <v>25</v>
      </c>
      <c r="B29" s="77"/>
      <c r="C29" s="77"/>
      <c r="D29" s="77"/>
      <c r="E29" s="3" t="s">
        <v>90</v>
      </c>
      <c r="F29" s="148" t="s">
        <v>450</v>
      </c>
      <c r="G29" s="6"/>
      <c r="H29" s="3" t="s">
        <v>302</v>
      </c>
      <c r="I29" s="3"/>
      <c r="J29" s="3"/>
      <c r="K29" s="3"/>
      <c r="L29" s="75"/>
      <c r="M29" s="88"/>
      <c r="N29" s="77"/>
      <c r="O29" s="77"/>
      <c r="P29" s="77"/>
      <c r="Q29" s="77"/>
      <c r="R29" s="77"/>
      <c r="S29" s="77"/>
      <c r="T29" s="77"/>
      <c r="U29" s="77"/>
      <c r="V29" s="77"/>
      <c r="W29" s="15"/>
      <c r="X29" s="160"/>
      <c r="Y29" s="76"/>
      <c r="Z29" s="3"/>
      <c r="AA29" s="88"/>
      <c r="AB29" s="77"/>
      <c r="AC29" s="77"/>
      <c r="AD29" s="77"/>
      <c r="AE29" s="77"/>
      <c r="AF29" s="80"/>
      <c r="AG29" s="76"/>
      <c r="AH29" s="78">
        <f>'Portafolio P&amp;D'!Y34</f>
        <v>0</v>
      </c>
      <c r="AI29" s="81">
        <f>'Portafolio P&amp;D'!Z34</f>
        <v>0</v>
      </c>
      <c r="AJ29" s="81"/>
      <c r="AK29" s="82">
        <f>'Portafolio P&amp;D'!AA34</f>
        <v>0.86</v>
      </c>
      <c r="AL29" s="82">
        <f>'Portafolio P&amp;D'!AB34</f>
        <v>0.84</v>
      </c>
      <c r="AM29" s="161">
        <f>IF(DemandaEstrateg_[[#This Row],[Tipo de Requerimiento]]="Proyecto",(DemandaEstrateg_[[#This Row],[% Avance ejecutado]]-DemandaEstrateg_[[#This Row],[% Avance Planificado]])/DemandaEstrateg_[[#This Row],[% Avance Planificado]],"No aplica")</f>
        <v>-2.3255813953488393E-2</v>
      </c>
      <c r="AN29" s="116">
        <f>IF(DemandaEstrateg_[[#This Row],[Tipo de Requerimiento]]="Proyecto",(DemandaEstrateg_[[#This Row],[% Avance ejecutado]]-DemandaEstrateg_[[#This Row],[% Avance Planificado]])/DemandaEstrateg_[[#This Row],[% Avance Planificado]],"No aplica")</f>
        <v>-2.3255813953488393E-2</v>
      </c>
      <c r="AO29" s="116"/>
      <c r="AP29" s="171">
        <v>45839</v>
      </c>
      <c r="AQ29" s="80" t="s">
        <v>110</v>
      </c>
      <c r="AR29" s="80" t="s">
        <v>101</v>
      </c>
      <c r="AS29" s="199" t="s">
        <v>127</v>
      </c>
      <c r="AT29" s="79" t="e">
        <f>VLOOKUP(DemandaEstrateg_[[#This Row],[Estado TI]],#REF!,3,FALSE)</f>
        <v>#REF!</v>
      </c>
      <c r="AU29" s="173" t="s">
        <v>128</v>
      </c>
      <c r="AV29" s="137">
        <f>'Portafolio P&amp;D'!B34</f>
        <v>0</v>
      </c>
    </row>
    <row r="30" spans="1:48" ht="49.9" customHeight="1" thickBot="1" x14ac:dyDescent="0.25">
      <c r="A30" s="3">
        <v>26</v>
      </c>
      <c r="B30" s="77"/>
      <c r="C30" s="77"/>
      <c r="D30" s="77"/>
      <c r="E30" s="3" t="s">
        <v>94</v>
      </c>
      <c r="F30" s="254" t="s">
        <v>451</v>
      </c>
      <c r="G30" s="6"/>
      <c r="H30" s="3" t="s">
        <v>302</v>
      </c>
      <c r="I30" s="3"/>
      <c r="J30" s="3"/>
      <c r="K30" s="15"/>
      <c r="L30" s="75"/>
      <c r="M30" s="88"/>
      <c r="N30" s="77"/>
      <c r="O30" s="77"/>
      <c r="P30" s="77"/>
      <c r="Q30" s="77"/>
      <c r="R30" s="77"/>
      <c r="S30" s="77"/>
      <c r="T30" s="77"/>
      <c r="U30" s="77"/>
      <c r="V30" s="77"/>
      <c r="W30" s="85"/>
      <c r="X30" s="36"/>
      <c r="Y30" s="76"/>
      <c r="Z30" s="3"/>
      <c r="AA30" s="88"/>
      <c r="AB30" s="77"/>
      <c r="AC30" s="3"/>
      <c r="AD30" s="89"/>
      <c r="AE30" s="89"/>
      <c r="AF30" s="80"/>
      <c r="AG30" s="76"/>
      <c r="AH30" s="78">
        <v>45567</v>
      </c>
      <c r="AI30" s="158" t="s">
        <v>101</v>
      </c>
      <c r="AJ30" s="158"/>
      <c r="AK30" s="82" t="s">
        <v>95</v>
      </c>
      <c r="AL30" s="82" t="s">
        <v>95</v>
      </c>
      <c r="AM30" s="162" t="str">
        <f>IF(DemandaEstrateg_[[#This Row],[Tipo de Requerimiento]]="Proyecto",(DemandaEstrateg_[[#This Row],[% Avance ejecutado]]-DemandaEstrateg_[[#This Row],[% Avance Planificado]])/DemandaEstrateg_[[#This Row],[% Avance Planificado]],"No aplica")</f>
        <v>No aplica</v>
      </c>
      <c r="AN30" s="162" t="str">
        <f>IF(DemandaEstrateg_[[#This Row],[Tipo de Requerimiento]]="Proyecto",(DemandaEstrateg_[[#This Row],[% Avance ejecutado]]-DemandaEstrateg_[[#This Row],[% Avance Planificado]])/DemandaEstrateg_[[#This Row],[% Avance Planificado]],"No aplica")</f>
        <v>No aplica</v>
      </c>
      <c r="AO30" s="117"/>
      <c r="AP30" s="117"/>
      <c r="AQ30" s="80" t="s">
        <v>91</v>
      </c>
      <c r="AR30" s="80" t="s">
        <v>96</v>
      </c>
      <c r="AS30" s="86" t="e">
        <f>VLOOKUP(DemandaEstrateg_[[#This Row],[Últ. Estado CQ 30.04]],#REF!,3,FALSE)</f>
        <v>#REF!</v>
      </c>
      <c r="AT30" s="79" t="e">
        <f>VLOOKUP(DemandaEstrateg_[[#This Row],[Estado TI]],#REF!,3,FALSE)</f>
        <v>#REF!</v>
      </c>
      <c r="AU30" s="143" t="s">
        <v>129</v>
      </c>
      <c r="AV30" s="131" t="s">
        <v>46</v>
      </c>
    </row>
    <row r="31" spans="1:48" s="135" customFormat="1" ht="49.9" customHeight="1" thickBot="1" x14ac:dyDescent="0.25">
      <c r="A31" s="3">
        <v>27</v>
      </c>
      <c r="B31" s="86"/>
      <c r="C31" s="86"/>
      <c r="D31" s="86"/>
      <c r="E31" s="3" t="s">
        <v>94</v>
      </c>
      <c r="F31" s="148" t="s">
        <v>452</v>
      </c>
      <c r="G31" s="96"/>
      <c r="H31" s="3" t="s">
        <v>302</v>
      </c>
      <c r="I31" s="89"/>
      <c r="J31" s="3"/>
      <c r="K31" s="149"/>
      <c r="L31" s="95"/>
      <c r="M31" s="150"/>
      <c r="N31" s="86"/>
      <c r="O31" s="86"/>
      <c r="P31" s="86"/>
      <c r="Q31" s="86"/>
      <c r="R31" s="86"/>
      <c r="S31" s="86"/>
      <c r="T31" s="86"/>
      <c r="U31" s="86"/>
      <c r="V31" s="86"/>
      <c r="W31" s="151"/>
      <c r="X31" s="36"/>
      <c r="Y31" s="152"/>
      <c r="Z31" s="89"/>
      <c r="AA31" s="150"/>
      <c r="AB31" s="86"/>
      <c r="AC31" s="86"/>
      <c r="AD31" s="86"/>
      <c r="AE31" s="86"/>
      <c r="AF31" s="80"/>
      <c r="AG31" s="76"/>
      <c r="AH31" s="81">
        <v>45162</v>
      </c>
      <c r="AI31" s="157">
        <v>45838</v>
      </c>
      <c r="AJ31" s="157"/>
      <c r="AK31" s="153" t="s">
        <v>95</v>
      </c>
      <c r="AL31" s="153" t="s">
        <v>95</v>
      </c>
      <c r="AM31" s="162" t="str">
        <f>IF(DemandaEstrateg_[[#This Row],[Tipo de Requerimiento]]="Proyecto",(DemandaEstrateg_[[#This Row],[% Avance ejecutado]]-DemandaEstrateg_[[#This Row],[% Avance Planificado]])/DemandaEstrateg_[[#This Row],[% Avance Planificado]],"No aplica")</f>
        <v>No aplica</v>
      </c>
      <c r="AN31" s="162" t="str">
        <f>IF(DemandaEstrateg_[[#This Row],[Tipo de Requerimiento]]="Proyecto",(DemandaEstrateg_[[#This Row],[% Avance ejecutado]]-DemandaEstrateg_[[#This Row],[% Avance Planificado]])/DemandaEstrateg_[[#This Row],[% Avance Planificado]],"No aplica")</f>
        <v>No aplica</v>
      </c>
      <c r="AO31" s="154"/>
      <c r="AP31" s="236">
        <v>46082</v>
      </c>
      <c r="AQ31" s="200" t="s">
        <v>91</v>
      </c>
      <c r="AR31" s="272" t="s">
        <v>130</v>
      </c>
      <c r="AS31" s="86" t="e">
        <f>VLOOKUP(DemandaEstrateg_[[#This Row],[Últ. Estado CQ 30.04]],#REF!,3,FALSE)</f>
        <v>#REF!</v>
      </c>
      <c r="AT31" s="155" t="e">
        <f>VLOOKUP(DemandaEstrateg_[[#This Row],[Estado TI]],#REF!,3,FALSE)</f>
        <v>#REF!</v>
      </c>
      <c r="AU31" s="18" t="s">
        <v>131</v>
      </c>
      <c r="AV31" s="131" t="s">
        <v>46</v>
      </c>
    </row>
    <row r="32" spans="1:48" s="135" customFormat="1" ht="49.9" customHeight="1" thickBot="1" x14ac:dyDescent="0.25">
      <c r="A32" s="3">
        <v>28</v>
      </c>
      <c r="B32" s="86"/>
      <c r="C32" s="86"/>
      <c r="D32" s="86"/>
      <c r="E32" s="3" t="s">
        <v>94</v>
      </c>
      <c r="F32" s="254" t="s">
        <v>453</v>
      </c>
      <c r="G32" s="96"/>
      <c r="H32" s="3" t="s">
        <v>302</v>
      </c>
      <c r="I32" s="89"/>
      <c r="J32" s="3"/>
      <c r="K32" s="149"/>
      <c r="L32" s="95"/>
      <c r="M32" s="150"/>
      <c r="N32" s="86"/>
      <c r="O32" s="86"/>
      <c r="P32" s="86"/>
      <c r="Q32" s="86"/>
      <c r="R32" s="86"/>
      <c r="S32" s="86"/>
      <c r="T32" s="86"/>
      <c r="U32" s="86"/>
      <c r="V32" s="86"/>
      <c r="W32" s="151"/>
      <c r="X32" s="36"/>
      <c r="Y32" s="152"/>
      <c r="Z32" s="89"/>
      <c r="AA32" s="150"/>
      <c r="AB32" s="86"/>
      <c r="AC32" s="86"/>
      <c r="AD32" s="86"/>
      <c r="AE32" s="86"/>
      <c r="AF32" s="80"/>
      <c r="AG32" s="76"/>
      <c r="AH32" s="81">
        <v>45604</v>
      </c>
      <c r="AI32" s="157">
        <v>45930</v>
      </c>
      <c r="AJ32" s="157"/>
      <c r="AK32" s="153" t="s">
        <v>95</v>
      </c>
      <c r="AL32" s="153" t="s">
        <v>95</v>
      </c>
      <c r="AM32" s="162" t="str">
        <f>IF(DemandaEstrateg_[[#This Row],[Tipo de Requerimiento]]="Proyecto",(DemandaEstrateg_[[#This Row],[% Avance ejecutado]]-DemandaEstrateg_[[#This Row],[% Avance Planificado]])/DemandaEstrateg_[[#This Row],[% Avance Planificado]],"No aplica")</f>
        <v>No aplica</v>
      </c>
      <c r="AN32" s="162" t="str">
        <f>IF(DemandaEstrateg_[[#This Row],[Tipo de Requerimiento]]="Proyecto",(DemandaEstrateg_[[#This Row],[% Avance ejecutado]]-DemandaEstrateg_[[#This Row],[% Avance Planificado]])/DemandaEstrateg_[[#This Row],[% Avance Planificado]],"No aplica")</f>
        <v>No aplica</v>
      </c>
      <c r="AO32" s="154"/>
      <c r="AP32" s="236">
        <v>46082</v>
      </c>
      <c r="AQ32" s="200" t="s">
        <v>91</v>
      </c>
      <c r="AR32" s="272" t="s">
        <v>99</v>
      </c>
      <c r="AS32" s="86" t="e">
        <f>VLOOKUP(DemandaEstrateg_[[#This Row],[Últ. Estado CQ 30.04]],#REF!,3,FALSE)</f>
        <v>#REF!</v>
      </c>
      <c r="AT32" s="155" t="e">
        <f>VLOOKUP(DemandaEstrateg_[[#This Row],[Estado TI]],#REF!,3,FALSE)</f>
        <v>#REF!</v>
      </c>
      <c r="AU32" s="18" t="s">
        <v>131</v>
      </c>
      <c r="AV32" s="131" t="s">
        <v>46</v>
      </c>
    </row>
    <row r="33" spans="1:48" ht="49.9" customHeight="1" thickBot="1" x14ac:dyDescent="0.25">
      <c r="A33" s="3">
        <v>29</v>
      </c>
      <c r="B33" s="77"/>
      <c r="C33" s="77"/>
      <c r="D33" s="77"/>
      <c r="E33" s="3" t="s">
        <v>94</v>
      </c>
      <c r="F33" s="148" t="s">
        <v>454</v>
      </c>
      <c r="G33" s="6"/>
      <c r="H33" s="3" t="s">
        <v>302</v>
      </c>
      <c r="I33" s="3"/>
      <c r="J33" s="3"/>
      <c r="K33" s="15"/>
      <c r="L33" s="75"/>
      <c r="M33" s="88"/>
      <c r="N33" s="77"/>
      <c r="O33" s="77"/>
      <c r="P33" s="77"/>
      <c r="Q33" s="77"/>
      <c r="R33" s="77"/>
      <c r="S33" s="77"/>
      <c r="T33" s="77"/>
      <c r="U33" s="77"/>
      <c r="V33" s="77"/>
      <c r="W33" s="15"/>
      <c r="X33" s="36"/>
      <c r="Y33" s="76"/>
      <c r="Z33" s="3"/>
      <c r="AA33" s="88"/>
      <c r="AB33" s="77"/>
      <c r="AC33" s="3"/>
      <c r="AD33" s="89"/>
      <c r="AE33" s="77"/>
      <c r="AF33" s="80"/>
      <c r="AG33" s="76"/>
      <c r="AH33" s="78">
        <v>45629</v>
      </c>
      <c r="AI33" s="158" t="s">
        <v>101</v>
      </c>
      <c r="AJ33" s="158"/>
      <c r="AK33" s="82" t="s">
        <v>95</v>
      </c>
      <c r="AL33" s="82" t="s">
        <v>95</v>
      </c>
      <c r="AM33" s="162" t="str">
        <f>IF(DemandaEstrateg_[[#This Row],[Tipo de Requerimiento]]="Proyecto",(DemandaEstrateg_[[#This Row],[% Avance ejecutado]]-DemandaEstrateg_[[#This Row],[% Avance Planificado]])/DemandaEstrateg_[[#This Row],[% Avance Planificado]],"No aplica")</f>
        <v>No aplica</v>
      </c>
      <c r="AN33" s="162" t="str">
        <f>IF(DemandaEstrateg_[[#This Row],[Tipo de Requerimiento]]="Proyecto",(DemandaEstrateg_[[#This Row],[% Avance ejecutado]]-DemandaEstrateg_[[#This Row],[% Avance Planificado]])/DemandaEstrateg_[[#This Row],[% Avance Planificado]],"No aplica")</f>
        <v>No aplica</v>
      </c>
      <c r="AO33" s="117"/>
      <c r="AP33" s="117"/>
      <c r="AQ33" s="80" t="s">
        <v>91</v>
      </c>
      <c r="AR33" s="80" t="s">
        <v>96</v>
      </c>
      <c r="AS33" s="86" t="e">
        <f>VLOOKUP(DemandaEstrateg_[[#This Row],[Últ. Estado CQ 30.04]],#REF!,3,FALSE)</f>
        <v>#REF!</v>
      </c>
      <c r="AT33" s="79" t="e">
        <f>VLOOKUP(DemandaEstrateg_[[#This Row],[Estado TI]],#REF!,3,FALSE)</f>
        <v>#REF!</v>
      </c>
      <c r="AU33" s="174" t="s">
        <v>132</v>
      </c>
      <c r="AV33" s="131" t="s">
        <v>46</v>
      </c>
    </row>
    <row r="34" spans="1:48" ht="49.9" customHeight="1" thickBot="1" x14ac:dyDescent="0.25">
      <c r="A34" s="3">
        <v>30</v>
      </c>
      <c r="B34" s="77"/>
      <c r="C34" s="77"/>
      <c r="D34" s="77"/>
      <c r="E34" s="3" t="s">
        <v>90</v>
      </c>
      <c r="F34" s="254" t="s">
        <v>455</v>
      </c>
      <c r="G34" s="6"/>
      <c r="H34" s="3" t="s">
        <v>302</v>
      </c>
      <c r="I34" s="3"/>
      <c r="J34" s="3"/>
      <c r="K34" s="3"/>
      <c r="L34" s="75"/>
      <c r="M34" s="88"/>
      <c r="N34" s="77"/>
      <c r="O34" s="77"/>
      <c r="P34" s="77"/>
      <c r="Q34" s="77"/>
      <c r="R34" s="77"/>
      <c r="S34" s="77"/>
      <c r="T34" s="77"/>
      <c r="U34" s="77"/>
      <c r="V34" s="77"/>
      <c r="W34" s="15"/>
      <c r="X34" s="160"/>
      <c r="Y34" s="76"/>
      <c r="Z34" s="3"/>
      <c r="AA34" s="88"/>
      <c r="AB34" s="77"/>
      <c r="AC34" s="77"/>
      <c r="AD34" s="77"/>
      <c r="AE34" s="77"/>
      <c r="AF34" s="80"/>
      <c r="AG34" s="76"/>
      <c r="AH34" s="78">
        <f>'Portafolio P&amp;D'!Y17</f>
        <v>0</v>
      </c>
      <c r="AI34" s="81">
        <f>'Portafolio P&amp;D'!Z17</f>
        <v>0</v>
      </c>
      <c r="AJ34" s="81"/>
      <c r="AK34" s="82">
        <f>'Portafolio P&amp;D'!AA17</f>
        <v>1</v>
      </c>
      <c r="AL34" s="82">
        <v>0.99</v>
      </c>
      <c r="AM34" s="161">
        <f>IF(DemandaEstrateg_[[#This Row],[Tipo de Requerimiento]]="Proyecto",(DemandaEstrateg_[[#This Row],[% Avance ejecutado]]-DemandaEstrateg_[[#This Row],[% Avance Planificado]])/DemandaEstrateg_[[#This Row],[% Avance Planificado]],"No aplica")</f>
        <v>-1.0000000000000009E-2</v>
      </c>
      <c r="AN34" s="116">
        <f>IF(DemandaEstrateg_[[#This Row],[Tipo de Requerimiento]]="Proyecto",(DemandaEstrateg_[[#This Row],[% Avance ejecutado]]-DemandaEstrateg_[[#This Row],[% Avance Planificado]])/DemandaEstrateg_[[#This Row],[% Avance Planificado]],"No aplica")</f>
        <v>-1.0000000000000009E-2</v>
      </c>
      <c r="AO34" s="116"/>
      <c r="AP34" s="235">
        <v>45992</v>
      </c>
      <c r="AQ34" s="80" t="s">
        <v>110</v>
      </c>
      <c r="AR34" s="199" t="s">
        <v>111</v>
      </c>
      <c r="AS34" s="199" t="s">
        <v>111</v>
      </c>
      <c r="AT34" s="79" t="e">
        <f>VLOOKUP(DemandaEstrateg_[[#This Row],[Estado TI]],#REF!,3,FALSE)</f>
        <v>#REF!</v>
      </c>
      <c r="AU34" s="176" t="s">
        <v>133</v>
      </c>
      <c r="AV34" s="137">
        <f>'Portafolio P&amp;D'!B17</f>
        <v>0</v>
      </c>
    </row>
    <row r="35" spans="1:48" ht="49.9" customHeight="1" thickBot="1" x14ac:dyDescent="0.25">
      <c r="A35" s="3">
        <v>31</v>
      </c>
      <c r="B35" s="77"/>
      <c r="C35" s="77"/>
      <c r="D35" s="77"/>
      <c r="E35" s="3" t="s">
        <v>94</v>
      </c>
      <c r="F35" s="148" t="s">
        <v>456</v>
      </c>
      <c r="G35" s="6"/>
      <c r="H35" s="3" t="s">
        <v>302</v>
      </c>
      <c r="I35" s="3"/>
      <c r="J35" s="3"/>
      <c r="K35" s="15"/>
      <c r="L35" s="75"/>
      <c r="M35" s="97"/>
      <c r="N35" s="77"/>
      <c r="O35" s="77"/>
      <c r="P35" s="77"/>
      <c r="Q35" s="77"/>
      <c r="R35" s="77"/>
      <c r="S35" s="77"/>
      <c r="T35" s="77"/>
      <c r="U35" s="77"/>
      <c r="V35" s="77"/>
      <c r="W35" s="85"/>
      <c r="X35" s="36"/>
      <c r="Y35" s="76"/>
      <c r="Z35" s="3"/>
      <c r="AA35" s="88"/>
      <c r="AB35" s="77"/>
      <c r="AC35" s="77"/>
      <c r="AD35" s="77"/>
      <c r="AE35" s="77"/>
      <c r="AF35" s="80"/>
      <c r="AG35" s="76"/>
      <c r="AH35" s="77" t="s">
        <v>46</v>
      </c>
      <c r="AI35" s="157">
        <v>45809</v>
      </c>
      <c r="AJ35" s="157"/>
      <c r="AK35" s="82" t="s">
        <v>95</v>
      </c>
      <c r="AL35" s="82" t="s">
        <v>95</v>
      </c>
      <c r="AM35" s="161" t="str">
        <f>IF(DemandaEstrateg_[[#This Row],[Tipo de Requerimiento]]="Proyecto",(DemandaEstrateg_[[#This Row],[% Avance ejecutado]]-DemandaEstrateg_[[#This Row],[% Avance Planificado]])/DemandaEstrateg_[[#This Row],[% Avance Planificado]],"No aplica")</f>
        <v>No aplica</v>
      </c>
      <c r="AN35" s="161" t="str">
        <f>IF(DemandaEstrateg_[[#This Row],[Tipo de Requerimiento]]="Proyecto",(DemandaEstrateg_[[#This Row],[% Avance ejecutado]]-DemandaEstrateg_[[#This Row],[% Avance Planificado]])/DemandaEstrateg_[[#This Row],[% Avance Planificado]],"No aplica")</f>
        <v>No aplica</v>
      </c>
      <c r="AO35" s="116"/>
      <c r="AP35" s="116"/>
      <c r="AQ35" s="80" t="s">
        <v>110</v>
      </c>
      <c r="AR35" s="80" t="s">
        <v>101</v>
      </c>
      <c r="AS35" s="86" t="s">
        <v>115</v>
      </c>
      <c r="AT35" s="79" t="e">
        <f>VLOOKUP(DemandaEstrateg_[[#This Row],[Estado TI]],#REF!,3,FALSE)</f>
        <v>#REF!</v>
      </c>
      <c r="AU35" s="175" t="s">
        <v>134</v>
      </c>
      <c r="AV35" s="131" t="s">
        <v>46</v>
      </c>
    </row>
    <row r="36" spans="1:48" ht="49.9" customHeight="1" thickBot="1" x14ac:dyDescent="0.25">
      <c r="A36" s="3">
        <v>32</v>
      </c>
      <c r="B36" s="99"/>
      <c r="C36" s="86"/>
      <c r="D36" s="77"/>
      <c r="E36" s="3" t="s">
        <v>94</v>
      </c>
      <c r="F36" s="254" t="s">
        <v>457</v>
      </c>
      <c r="G36" s="96"/>
      <c r="H36" s="3" t="s">
        <v>302</v>
      </c>
      <c r="I36" s="3"/>
      <c r="J36" s="3"/>
      <c r="K36" s="15"/>
      <c r="L36" s="75"/>
      <c r="M36" s="88"/>
      <c r="N36" s="89"/>
      <c r="O36" s="89"/>
      <c r="P36" s="89"/>
      <c r="Q36" s="99"/>
      <c r="R36" s="77"/>
      <c r="S36" s="77"/>
      <c r="T36" s="77"/>
      <c r="U36" s="77"/>
      <c r="V36" s="77"/>
      <c r="W36" s="85"/>
      <c r="X36" s="36"/>
      <c r="Y36" s="77"/>
      <c r="Z36" s="3"/>
      <c r="AA36" s="76"/>
      <c r="AB36" s="77"/>
      <c r="AC36" s="77"/>
      <c r="AD36" s="77"/>
      <c r="AE36" s="77"/>
      <c r="AF36" s="80"/>
      <c r="AG36" s="76"/>
      <c r="AH36" s="78">
        <v>45645</v>
      </c>
      <c r="AI36" s="157">
        <v>45688</v>
      </c>
      <c r="AJ36" s="157"/>
      <c r="AK36" s="82" t="s">
        <v>95</v>
      </c>
      <c r="AL36" s="82" t="s">
        <v>95</v>
      </c>
      <c r="AM36" s="161" t="str">
        <f>IF(DemandaEstrateg_[[#This Row],[Tipo de Requerimiento]]="Proyecto",(DemandaEstrateg_[[#This Row],[% Avance ejecutado]]-DemandaEstrateg_[[#This Row],[% Avance Planificado]])/DemandaEstrateg_[[#This Row],[% Avance Planificado]],"No aplica")</f>
        <v>No aplica</v>
      </c>
      <c r="AN36" s="161" t="str">
        <f>IF(DemandaEstrateg_[[#This Row],[Tipo de Requerimiento]]="Proyecto",(DemandaEstrateg_[[#This Row],[% Avance ejecutado]]-DemandaEstrateg_[[#This Row],[% Avance Planificado]])/DemandaEstrateg_[[#This Row],[% Avance Planificado]],"No aplica")</f>
        <v>No aplica</v>
      </c>
      <c r="AO36" s="116"/>
      <c r="AP36" s="236">
        <v>45992</v>
      </c>
      <c r="AQ36" s="80" t="s">
        <v>105</v>
      </c>
      <c r="AR36" s="298" t="s">
        <v>103</v>
      </c>
      <c r="AS36" s="77" t="e">
        <f>VLOOKUP(DemandaEstrateg_[[#This Row],[Últ. Estado CQ 30.04]],#REF!,3,FALSE)</f>
        <v>#REF!</v>
      </c>
      <c r="AT36" s="79" t="e">
        <f>VLOOKUP(DemandaEstrateg_[[#This Row],[Estado TI]],#REF!,3,FALSE)</f>
        <v>#REF!</v>
      </c>
      <c r="AU36" s="146" t="s">
        <v>135</v>
      </c>
      <c r="AV36" s="131" t="s">
        <v>46</v>
      </c>
    </row>
    <row r="37" spans="1:48" s="36" customFormat="1" ht="49.9" customHeight="1" x14ac:dyDescent="0.25">
      <c r="A37" s="3">
        <v>33</v>
      </c>
      <c r="B37" s="77"/>
      <c r="C37" s="77"/>
      <c r="D37" s="77"/>
      <c r="E37" s="3" t="s">
        <v>94</v>
      </c>
      <c r="F37" s="148" t="s">
        <v>458</v>
      </c>
      <c r="G37" s="6"/>
      <c r="H37" s="3" t="s">
        <v>302</v>
      </c>
      <c r="I37" s="3"/>
      <c r="J37" s="3"/>
      <c r="K37" s="15"/>
      <c r="L37" s="75"/>
      <c r="M37" s="88"/>
      <c r="N37" s="77"/>
      <c r="O37" s="77"/>
      <c r="P37" s="77"/>
      <c r="Q37" s="77"/>
      <c r="R37" s="77"/>
      <c r="S37" s="77"/>
      <c r="T37" s="77"/>
      <c r="U37" s="77"/>
      <c r="V37" s="77"/>
      <c r="W37" s="15"/>
      <c r="Y37" s="76"/>
      <c r="Z37" s="3"/>
      <c r="AA37" s="76"/>
      <c r="AB37" s="77"/>
      <c r="AC37" s="3"/>
      <c r="AD37" s="89"/>
      <c r="AE37" s="77"/>
      <c r="AF37" s="80"/>
      <c r="AG37" s="76"/>
      <c r="AH37" s="78">
        <v>45686</v>
      </c>
      <c r="AI37" s="157">
        <v>45777</v>
      </c>
      <c r="AJ37" s="157"/>
      <c r="AK37" s="82" t="s">
        <v>95</v>
      </c>
      <c r="AL37" s="82" t="s">
        <v>95</v>
      </c>
      <c r="AM37" s="161" t="str">
        <f>IF(DemandaEstrateg_[[#This Row],[Tipo de Requerimiento]]="Proyecto",(DemandaEstrateg_[[#This Row],[% Avance ejecutado]]-DemandaEstrateg_[[#This Row],[% Avance Planificado]])/DemandaEstrateg_[[#This Row],[% Avance Planificado]],"No aplica")</f>
        <v>No aplica</v>
      </c>
      <c r="AN37" s="161" t="str">
        <f>IF(DemandaEstrateg_[[#This Row],[Tipo de Requerimiento]]="Proyecto",(DemandaEstrateg_[[#This Row],[% Avance ejecutado]]-DemandaEstrateg_[[#This Row],[% Avance Planificado]])/DemandaEstrateg_[[#This Row],[% Avance Planificado]],"No aplica")</f>
        <v>No aplica</v>
      </c>
      <c r="AO37" s="116"/>
      <c r="AP37" s="116"/>
      <c r="AQ37" s="80" t="s">
        <v>91</v>
      </c>
      <c r="AR37" s="80" t="s">
        <v>136</v>
      </c>
      <c r="AS37" s="86" t="e">
        <f>VLOOKUP(DemandaEstrateg_[[#This Row],[Últ. Estado CQ 30.04]],#REF!,3,FALSE)</f>
        <v>#REF!</v>
      </c>
      <c r="AT37" s="79" t="e">
        <f>VLOOKUP(DemandaEstrateg_[[#This Row],[Estado TI]],#REF!,3,FALSE)</f>
        <v>#REF!</v>
      </c>
      <c r="AU37" s="143" t="s">
        <v>137</v>
      </c>
      <c r="AV37" s="131" t="s">
        <v>46</v>
      </c>
    </row>
    <row r="38" spans="1:48" ht="49.9" customHeight="1" x14ac:dyDescent="0.2">
      <c r="A38" s="3">
        <v>34</v>
      </c>
      <c r="B38" s="77"/>
      <c r="C38" s="77"/>
      <c r="D38" s="77"/>
      <c r="E38" s="3" t="s">
        <v>94</v>
      </c>
      <c r="F38" s="254" t="s">
        <v>459</v>
      </c>
      <c r="G38" s="6"/>
      <c r="H38" s="3" t="s">
        <v>302</v>
      </c>
      <c r="I38" s="3"/>
      <c r="J38" s="3"/>
      <c r="K38" s="15"/>
      <c r="L38" s="75"/>
      <c r="M38" s="94"/>
      <c r="N38" s="77"/>
      <c r="O38" s="77"/>
      <c r="P38" s="77"/>
      <c r="Q38" s="77"/>
      <c r="R38" s="77"/>
      <c r="S38" s="77"/>
      <c r="T38" s="77"/>
      <c r="U38" s="77"/>
      <c r="V38" s="77"/>
      <c r="W38" s="85"/>
      <c r="X38" s="36"/>
      <c r="Y38" s="76"/>
      <c r="Z38" s="3"/>
      <c r="AA38" s="76"/>
      <c r="AB38" s="77"/>
      <c r="AC38" s="3"/>
      <c r="AD38" s="89"/>
      <c r="AE38" s="77"/>
      <c r="AF38" s="80"/>
      <c r="AG38" s="76"/>
      <c r="AH38" s="78">
        <v>45686</v>
      </c>
      <c r="AI38" s="157">
        <v>45748</v>
      </c>
      <c r="AJ38" s="157"/>
      <c r="AK38" s="82" t="s">
        <v>95</v>
      </c>
      <c r="AL38" s="82" t="s">
        <v>95</v>
      </c>
      <c r="AM38" s="161" t="str">
        <f>IF(DemandaEstrateg_[[#This Row],[Tipo de Requerimiento]]="Proyecto",(DemandaEstrateg_[[#This Row],[% Avance ejecutado]]-DemandaEstrateg_[[#This Row],[% Avance Planificado]])/DemandaEstrateg_[[#This Row],[% Avance Planificado]],"No aplica")</f>
        <v>No aplica</v>
      </c>
      <c r="AN38" s="161" t="str">
        <f>IF(DemandaEstrateg_[[#This Row],[Tipo de Requerimiento]]="Proyecto",(DemandaEstrateg_[[#This Row],[% Avance ejecutado]]-DemandaEstrateg_[[#This Row],[% Avance Planificado]])/DemandaEstrateg_[[#This Row],[% Avance Planificado]],"No aplica")</f>
        <v>No aplica</v>
      </c>
      <c r="AO38" s="116"/>
      <c r="AP38" s="116"/>
      <c r="AQ38" s="80" t="s">
        <v>91</v>
      </c>
      <c r="AR38" s="298" t="s">
        <v>96</v>
      </c>
      <c r="AS38" s="86" t="e">
        <f>VLOOKUP(DemandaEstrateg_[[#This Row],[Últ. Estado CQ 30.04]],#REF!,3,FALSE)</f>
        <v>#REF!</v>
      </c>
      <c r="AT38" s="79" t="e">
        <f>VLOOKUP(DemandaEstrateg_[[#This Row],[Estado TI]],#REF!,3,FALSE)</f>
        <v>#REF!</v>
      </c>
      <c r="AU38" s="143" t="s">
        <v>138</v>
      </c>
      <c r="AV38" s="131" t="s">
        <v>46</v>
      </c>
    </row>
    <row r="39" spans="1:48" ht="49.9" customHeight="1" x14ac:dyDescent="0.2">
      <c r="A39" s="3">
        <v>35</v>
      </c>
      <c r="B39" s="77"/>
      <c r="C39" s="77"/>
      <c r="D39" s="77"/>
      <c r="E39" s="3" t="s">
        <v>94</v>
      </c>
      <c r="F39" s="148" t="s">
        <v>460</v>
      </c>
      <c r="G39" s="6"/>
      <c r="H39" s="3" t="s">
        <v>302</v>
      </c>
      <c r="I39" s="3"/>
      <c r="J39" s="3"/>
      <c r="K39" s="15"/>
      <c r="L39" s="75"/>
      <c r="M39" s="94"/>
      <c r="N39" s="77"/>
      <c r="O39" s="77"/>
      <c r="P39" s="77"/>
      <c r="Q39" s="77"/>
      <c r="R39" s="77"/>
      <c r="S39" s="77"/>
      <c r="T39" s="77"/>
      <c r="U39" s="77"/>
      <c r="V39" s="77"/>
      <c r="W39" s="85"/>
      <c r="X39" s="36"/>
      <c r="Y39" s="76"/>
      <c r="Z39" s="3"/>
      <c r="AA39" s="76"/>
      <c r="AB39" s="77"/>
      <c r="AC39" s="3"/>
      <c r="AD39" s="89"/>
      <c r="AE39" s="77"/>
      <c r="AF39" s="80"/>
      <c r="AG39" s="76"/>
      <c r="AH39" s="78">
        <v>45686</v>
      </c>
      <c r="AI39" s="157">
        <v>45748</v>
      </c>
      <c r="AJ39" s="157"/>
      <c r="AK39" s="82" t="s">
        <v>95</v>
      </c>
      <c r="AL39" s="82" t="s">
        <v>95</v>
      </c>
      <c r="AM39" s="161" t="str">
        <f>IF(DemandaEstrateg_[[#This Row],[Tipo de Requerimiento]]="Proyecto",(DemandaEstrateg_[[#This Row],[% Avance ejecutado]]-DemandaEstrateg_[[#This Row],[% Avance Planificado]])/DemandaEstrateg_[[#This Row],[% Avance Planificado]],"No aplica")</f>
        <v>No aplica</v>
      </c>
      <c r="AN39" s="161" t="str">
        <f>IF(DemandaEstrateg_[[#This Row],[Tipo de Requerimiento]]="Proyecto",(DemandaEstrateg_[[#This Row],[% Avance ejecutado]]-DemandaEstrateg_[[#This Row],[% Avance Planificado]])/DemandaEstrateg_[[#This Row],[% Avance Planificado]],"No aplica")</f>
        <v>No aplica</v>
      </c>
      <c r="AO39" s="116"/>
      <c r="AP39" s="116"/>
      <c r="AQ39" s="80" t="s">
        <v>91</v>
      </c>
      <c r="AR39" s="298" t="s">
        <v>96</v>
      </c>
      <c r="AS39" s="86" t="e">
        <f>VLOOKUP(DemandaEstrateg_[[#This Row],[Últ. Estado CQ 30.04]],#REF!,3,FALSE)</f>
        <v>#REF!</v>
      </c>
      <c r="AT39" s="79" t="e">
        <f>VLOOKUP(DemandaEstrateg_[[#This Row],[Estado TI]],#REF!,3,FALSE)</f>
        <v>#REF!</v>
      </c>
      <c r="AU39" s="143" t="s">
        <v>138</v>
      </c>
      <c r="AV39" s="131" t="s">
        <v>46</v>
      </c>
    </row>
    <row r="40" spans="1:48" ht="49.9" customHeight="1" x14ac:dyDescent="0.2">
      <c r="A40" s="3">
        <v>36</v>
      </c>
      <c r="B40" s="77"/>
      <c r="C40" s="77"/>
      <c r="D40" s="77"/>
      <c r="E40" s="3" t="s">
        <v>94</v>
      </c>
      <c r="F40" s="254" t="s">
        <v>461</v>
      </c>
      <c r="G40" s="6"/>
      <c r="H40" s="3" t="s">
        <v>302</v>
      </c>
      <c r="I40" s="3"/>
      <c r="J40" s="3"/>
      <c r="K40" s="15"/>
      <c r="L40" s="75"/>
      <c r="M40" s="94"/>
      <c r="N40" s="77"/>
      <c r="O40" s="77"/>
      <c r="P40" s="77"/>
      <c r="Q40" s="77"/>
      <c r="R40" s="77"/>
      <c r="S40" s="77"/>
      <c r="T40" s="77"/>
      <c r="U40" s="77"/>
      <c r="V40" s="77"/>
      <c r="W40" s="85"/>
      <c r="X40" s="36"/>
      <c r="Y40" s="76"/>
      <c r="Z40" s="3"/>
      <c r="AA40" s="76"/>
      <c r="AB40" s="77"/>
      <c r="AC40" s="3"/>
      <c r="AD40" s="89"/>
      <c r="AE40" s="77"/>
      <c r="AF40" s="80"/>
      <c r="AG40" s="76"/>
      <c r="AH40" s="78">
        <v>45686</v>
      </c>
      <c r="AI40" s="157">
        <v>45748</v>
      </c>
      <c r="AJ40" s="157"/>
      <c r="AK40" s="82" t="s">
        <v>95</v>
      </c>
      <c r="AL40" s="82" t="s">
        <v>95</v>
      </c>
      <c r="AM40" s="161" t="str">
        <f>IF(DemandaEstrateg_[[#This Row],[Tipo de Requerimiento]]="Proyecto",(DemandaEstrateg_[[#This Row],[% Avance ejecutado]]-DemandaEstrateg_[[#This Row],[% Avance Planificado]])/DemandaEstrateg_[[#This Row],[% Avance Planificado]],"No aplica")</f>
        <v>No aplica</v>
      </c>
      <c r="AN40" s="161" t="str">
        <f>IF(DemandaEstrateg_[[#This Row],[Tipo de Requerimiento]]="Proyecto",(DemandaEstrateg_[[#This Row],[% Avance ejecutado]]-DemandaEstrateg_[[#This Row],[% Avance Planificado]])/DemandaEstrateg_[[#This Row],[% Avance Planificado]],"No aplica")</f>
        <v>No aplica</v>
      </c>
      <c r="AO40" s="116"/>
      <c r="AP40" s="116"/>
      <c r="AQ40" s="80" t="s">
        <v>91</v>
      </c>
      <c r="AR40" s="80" t="s">
        <v>99</v>
      </c>
      <c r="AS40" s="86" t="e">
        <f>VLOOKUP(DemandaEstrateg_[[#This Row],[Últ. Estado CQ 30.04]],#REF!,3,FALSE)</f>
        <v>#REF!</v>
      </c>
      <c r="AT40" s="79" t="e">
        <f>VLOOKUP(DemandaEstrateg_[[#This Row],[Estado TI]],#REF!,3,FALSE)</f>
        <v>#REF!</v>
      </c>
      <c r="AU40" s="143" t="s">
        <v>138</v>
      </c>
      <c r="AV40" s="131" t="s">
        <v>46</v>
      </c>
    </row>
    <row r="41" spans="1:48" ht="49.9" customHeight="1" thickBot="1" x14ac:dyDescent="0.25">
      <c r="A41" s="3">
        <v>37</v>
      </c>
      <c r="B41" s="77"/>
      <c r="C41" s="77"/>
      <c r="D41" s="77"/>
      <c r="E41" s="3" t="s">
        <v>94</v>
      </c>
      <c r="F41" s="148" t="s">
        <v>462</v>
      </c>
      <c r="G41" s="6"/>
      <c r="H41" s="3" t="s">
        <v>302</v>
      </c>
      <c r="I41" s="3"/>
      <c r="J41" s="3"/>
      <c r="K41" s="15"/>
      <c r="L41" s="75"/>
      <c r="M41" s="88"/>
      <c r="N41" s="77"/>
      <c r="O41" s="77"/>
      <c r="P41" s="77"/>
      <c r="Q41" s="77"/>
      <c r="R41" s="77"/>
      <c r="S41" s="77"/>
      <c r="T41" s="77"/>
      <c r="U41" s="77"/>
      <c r="V41" s="77"/>
      <c r="W41" s="85"/>
      <c r="X41" s="36"/>
      <c r="Y41" s="76"/>
      <c r="Z41" s="3"/>
      <c r="AA41" s="76"/>
      <c r="AB41" s="77"/>
      <c r="AC41" s="3"/>
      <c r="AD41" s="89"/>
      <c r="AE41" s="77"/>
      <c r="AF41" s="80"/>
      <c r="AG41" s="76"/>
      <c r="AH41" s="78">
        <v>45791</v>
      </c>
      <c r="AI41" s="158" t="s">
        <v>101</v>
      </c>
      <c r="AJ41" s="158"/>
      <c r="AK41" s="82" t="s">
        <v>95</v>
      </c>
      <c r="AL41" s="82" t="s">
        <v>95</v>
      </c>
      <c r="AM41" s="161" t="str">
        <f>IF(DemandaEstrateg_[[#This Row],[Tipo de Requerimiento]]="Proyecto",(DemandaEstrateg_[[#This Row],[% Avance ejecutado]]-DemandaEstrateg_[[#This Row],[% Avance Planificado]])/DemandaEstrateg_[[#This Row],[% Avance Planificado]],"No aplica")</f>
        <v>No aplica</v>
      </c>
      <c r="AN41" s="161" t="str">
        <f>IF(DemandaEstrateg_[[#This Row],[Tipo de Requerimiento]]="Proyecto",(DemandaEstrateg_[[#This Row],[% Avance ejecutado]]-DemandaEstrateg_[[#This Row],[% Avance Planificado]])/DemandaEstrateg_[[#This Row],[% Avance Planificado]],"No aplica")</f>
        <v>No aplica</v>
      </c>
      <c r="AO41" s="116"/>
      <c r="AP41" s="116"/>
      <c r="AQ41" s="80" t="s">
        <v>91</v>
      </c>
      <c r="AR41" s="298" t="s">
        <v>96</v>
      </c>
      <c r="AS41" s="86" t="e">
        <f>VLOOKUP(DemandaEstrateg_[[#This Row],[Últ. Estado CQ 30.04]],#REF!,3,FALSE)</f>
        <v>#REF!</v>
      </c>
      <c r="AT41" s="79" t="e">
        <f>VLOOKUP(DemandaEstrateg_[[#This Row],[Estado TI]],#REF!,3,FALSE)</f>
        <v>#REF!</v>
      </c>
      <c r="AU41" s="143" t="s">
        <v>139</v>
      </c>
      <c r="AV41" s="131" t="s">
        <v>46</v>
      </c>
    </row>
    <row r="42" spans="1:48" ht="49.9" customHeight="1" thickBot="1" x14ac:dyDescent="0.25">
      <c r="A42" s="3">
        <v>38</v>
      </c>
      <c r="B42" s="83"/>
      <c r="C42" s="83"/>
      <c r="D42" s="77"/>
      <c r="E42" s="3" t="s">
        <v>94</v>
      </c>
      <c r="F42" s="254" t="s">
        <v>463</v>
      </c>
      <c r="G42" s="91"/>
      <c r="H42" s="3" t="s">
        <v>302</v>
      </c>
      <c r="I42" s="94"/>
      <c r="J42" s="3"/>
      <c r="K42" s="15"/>
      <c r="L42" s="102"/>
      <c r="M42" s="88"/>
      <c r="N42" s="83"/>
      <c r="O42" s="83"/>
      <c r="P42" s="83"/>
      <c r="Q42" s="83"/>
      <c r="R42" s="77"/>
      <c r="S42" s="77"/>
      <c r="T42" s="77"/>
      <c r="U42" s="77"/>
      <c r="V42" s="77"/>
      <c r="W42" s="85"/>
      <c r="X42" s="36"/>
      <c r="Y42" s="94"/>
      <c r="Z42" s="3"/>
      <c r="AA42" s="88"/>
      <c r="AB42" s="83"/>
      <c r="AC42" s="77"/>
      <c r="AD42" s="83"/>
      <c r="AE42" s="83"/>
      <c r="AF42" s="101"/>
      <c r="AG42" s="76"/>
      <c r="AH42" s="78">
        <v>45638</v>
      </c>
      <c r="AI42" s="157">
        <v>45823</v>
      </c>
      <c r="AJ42" s="157"/>
      <c r="AK42" s="82" t="s">
        <v>95</v>
      </c>
      <c r="AL42" s="82" t="s">
        <v>95</v>
      </c>
      <c r="AM42" s="161" t="str">
        <f>IF(DemandaEstrateg_[[#This Row],[Tipo de Requerimiento]]="Proyecto",(DemandaEstrateg_[[#This Row],[% Avance ejecutado]]-DemandaEstrateg_[[#This Row],[% Avance Planificado]])/DemandaEstrateg_[[#This Row],[% Avance Planificado]],"No aplica")</f>
        <v>No aplica</v>
      </c>
      <c r="AN42" s="161" t="str">
        <f>IF(DemandaEstrateg_[[#This Row],[Tipo de Requerimiento]]="Proyecto",(DemandaEstrateg_[[#This Row],[% Avance ejecutado]]-DemandaEstrateg_[[#This Row],[% Avance Planificado]])/DemandaEstrateg_[[#This Row],[% Avance Planificado]],"No aplica")</f>
        <v>No aplica</v>
      </c>
      <c r="AO42" s="116"/>
      <c r="AP42" s="295">
        <v>46021</v>
      </c>
      <c r="AQ42" s="80" t="s">
        <v>105</v>
      </c>
      <c r="AR42" s="80" t="s">
        <v>125</v>
      </c>
      <c r="AS42" s="86" t="e">
        <f>VLOOKUP(DemandaEstrateg_[[#This Row],[Últ. Estado CQ 30.04]],#REF!,3,FALSE)</f>
        <v>#REF!</v>
      </c>
      <c r="AT42" s="79" t="e">
        <f>VLOOKUP(DemandaEstrateg_[[#This Row],[Estado TI]],#REF!,3,FALSE)</f>
        <v>#REF!</v>
      </c>
      <c r="AU42" s="147" t="s">
        <v>140</v>
      </c>
      <c r="AV42" s="131" t="s">
        <v>46</v>
      </c>
    </row>
    <row r="43" spans="1:48" ht="49.9" customHeight="1" thickBot="1" x14ac:dyDescent="0.25">
      <c r="A43" s="3">
        <v>39</v>
      </c>
      <c r="B43" s="77"/>
      <c r="C43" s="77"/>
      <c r="D43" s="77"/>
      <c r="E43" s="3" t="s">
        <v>94</v>
      </c>
      <c r="F43" s="148" t="s">
        <v>464</v>
      </c>
      <c r="G43" s="6"/>
      <c r="H43" s="3" t="s">
        <v>302</v>
      </c>
      <c r="I43" s="3"/>
      <c r="J43" s="3"/>
      <c r="K43" s="15"/>
      <c r="L43" s="75"/>
      <c r="M43" s="76"/>
      <c r="N43" s="77"/>
      <c r="O43" s="77"/>
      <c r="P43" s="77"/>
      <c r="Q43" s="77"/>
      <c r="R43" s="77"/>
      <c r="S43" s="77"/>
      <c r="T43" s="77"/>
      <c r="U43" s="77"/>
      <c r="V43" s="77"/>
      <c r="W43" s="15"/>
      <c r="X43" s="36"/>
      <c r="Y43" s="76"/>
      <c r="Z43" s="3"/>
      <c r="AA43" s="76"/>
      <c r="AB43" s="77"/>
      <c r="AC43" s="3"/>
      <c r="AD43" s="89"/>
      <c r="AE43" s="77"/>
      <c r="AF43" s="80"/>
      <c r="AG43" s="76"/>
      <c r="AH43" s="78">
        <v>45663</v>
      </c>
      <c r="AI43" s="157">
        <v>45777</v>
      </c>
      <c r="AJ43" s="157"/>
      <c r="AK43" s="82" t="s">
        <v>95</v>
      </c>
      <c r="AL43" s="82" t="s">
        <v>95</v>
      </c>
      <c r="AM43" s="161" t="str">
        <f>IF(DemandaEstrateg_[[#This Row],[Tipo de Requerimiento]]="Proyecto",(DemandaEstrateg_[[#This Row],[% Avance ejecutado]]-DemandaEstrateg_[[#This Row],[% Avance Planificado]])/DemandaEstrateg_[[#This Row],[% Avance Planificado]],"No aplica")</f>
        <v>No aplica</v>
      </c>
      <c r="AN43" s="161" t="str">
        <f>IF(DemandaEstrateg_[[#This Row],[Tipo de Requerimiento]]="Proyecto",(DemandaEstrateg_[[#This Row],[% Avance ejecutado]]-DemandaEstrateg_[[#This Row],[% Avance Planificado]])/DemandaEstrateg_[[#This Row],[% Avance Planificado]],"No aplica")</f>
        <v>No aplica</v>
      </c>
      <c r="AO43" s="116"/>
      <c r="AP43" s="116"/>
      <c r="AQ43" s="80" t="s">
        <v>91</v>
      </c>
      <c r="AR43" s="80" t="s">
        <v>99</v>
      </c>
      <c r="AS43" s="86" t="e">
        <f>VLOOKUP(DemandaEstrateg_[[#This Row],[Últ. Estado CQ 30.04]],#REF!,3,FALSE)</f>
        <v>#REF!</v>
      </c>
      <c r="AT43" s="79" t="e">
        <f>VLOOKUP(DemandaEstrateg_[[#This Row],[Estado TI]],#REF!,3,FALSE)</f>
        <v>#REF!</v>
      </c>
      <c r="AU43" s="143" t="s">
        <v>141</v>
      </c>
      <c r="AV43" s="131" t="s">
        <v>46</v>
      </c>
    </row>
    <row r="44" spans="1:48" ht="49.9" customHeight="1" thickBot="1" x14ac:dyDescent="0.25">
      <c r="A44" s="3">
        <v>40</v>
      </c>
      <c r="B44" s="77"/>
      <c r="C44" s="103"/>
      <c r="D44" s="77"/>
      <c r="E44" s="3" t="s">
        <v>94</v>
      </c>
      <c r="F44" s="254" t="s">
        <v>465</v>
      </c>
      <c r="G44" s="6"/>
      <c r="H44" s="3" t="s">
        <v>302</v>
      </c>
      <c r="I44" s="3"/>
      <c r="J44" s="3"/>
      <c r="K44" s="15"/>
      <c r="L44" s="75"/>
      <c r="M44" s="76"/>
      <c r="N44" s="77"/>
      <c r="O44" s="77"/>
      <c r="P44" s="77"/>
      <c r="Q44" s="77"/>
      <c r="R44" s="77"/>
      <c r="S44" s="77"/>
      <c r="T44" s="77"/>
      <c r="U44" s="77"/>
      <c r="V44" s="77"/>
      <c r="W44" s="15"/>
      <c r="X44" s="36"/>
      <c r="Y44" s="76"/>
      <c r="Z44" s="3"/>
      <c r="AA44" s="76"/>
      <c r="AB44" s="77"/>
      <c r="AC44" s="77"/>
      <c r="AD44" s="77"/>
      <c r="AE44" s="77"/>
      <c r="AF44" s="80"/>
      <c r="AG44" s="76"/>
      <c r="AH44" s="78">
        <v>45664</v>
      </c>
      <c r="AI44" s="157">
        <v>45735</v>
      </c>
      <c r="AJ44" s="157">
        <v>45735</v>
      </c>
      <c r="AK44" s="82" t="s">
        <v>95</v>
      </c>
      <c r="AL44" s="82" t="s">
        <v>95</v>
      </c>
      <c r="AM44" s="161" t="str">
        <f>IF(DemandaEstrateg_[[#This Row],[Tipo de Requerimiento]]="Proyecto",(DemandaEstrateg_[[#This Row],[% Avance ejecutado]]-DemandaEstrateg_[[#This Row],[% Avance Planificado]])/DemandaEstrateg_[[#This Row],[% Avance Planificado]],"No aplica")</f>
        <v>No aplica</v>
      </c>
      <c r="AN44" s="161" t="str">
        <f>IF(DemandaEstrateg_[[#This Row],[Tipo de Requerimiento]]="Proyecto",(DemandaEstrateg_[[#This Row],[% Avance ejecutado]]-DemandaEstrateg_[[#This Row],[% Avance Planificado]])/DemandaEstrateg_[[#This Row],[% Avance Planificado]],"No aplica")</f>
        <v>No aplica</v>
      </c>
      <c r="AO44" s="116"/>
      <c r="AP44" s="236">
        <v>45717</v>
      </c>
      <c r="AQ44" s="80" t="s">
        <v>142</v>
      </c>
      <c r="AR44" s="77" t="s">
        <v>143</v>
      </c>
      <c r="AS44" s="86" t="e">
        <f>VLOOKUP(DemandaEstrateg_[[#This Row],[Últ. Estado CQ 30.04]],#REF!,3,FALSE)</f>
        <v>#REF!</v>
      </c>
      <c r="AT44" s="79" t="e">
        <f>VLOOKUP(DemandaEstrateg_[[#This Row],[Estado TI]],#REF!,3,FALSE)</f>
        <v>#REF!</v>
      </c>
      <c r="AU44" s="143" t="s">
        <v>144</v>
      </c>
      <c r="AV44" s="131" t="s">
        <v>46</v>
      </c>
    </row>
    <row r="45" spans="1:48" ht="49.9" customHeight="1" thickBot="1" x14ac:dyDescent="0.25">
      <c r="A45" s="3">
        <v>41</v>
      </c>
      <c r="B45" s="77"/>
      <c r="C45" s="103"/>
      <c r="D45" s="77"/>
      <c r="E45" s="3" t="s">
        <v>94</v>
      </c>
      <c r="F45" s="148" t="s">
        <v>466</v>
      </c>
      <c r="G45" s="6"/>
      <c r="H45" s="3" t="s">
        <v>302</v>
      </c>
      <c r="I45" s="3"/>
      <c r="J45" s="3"/>
      <c r="K45" s="15"/>
      <c r="L45" s="75"/>
      <c r="M45" s="76"/>
      <c r="N45" s="77"/>
      <c r="O45" s="77"/>
      <c r="P45" s="77"/>
      <c r="Q45" s="77"/>
      <c r="R45" s="77"/>
      <c r="S45" s="77"/>
      <c r="T45" s="77"/>
      <c r="U45" s="77"/>
      <c r="V45" s="77"/>
      <c r="W45" s="15"/>
      <c r="X45" s="36"/>
      <c r="Y45" s="76"/>
      <c r="Z45" s="3"/>
      <c r="AA45" s="76"/>
      <c r="AB45" s="77"/>
      <c r="AC45" s="77"/>
      <c r="AD45" s="77"/>
      <c r="AE45" s="77"/>
      <c r="AF45" s="80"/>
      <c r="AG45" s="76"/>
      <c r="AH45" s="78">
        <v>45663</v>
      </c>
      <c r="AI45" s="157">
        <v>45747</v>
      </c>
      <c r="AJ45" s="157"/>
      <c r="AK45" s="82" t="s">
        <v>95</v>
      </c>
      <c r="AL45" s="82" t="s">
        <v>95</v>
      </c>
      <c r="AM45" s="161" t="str">
        <f>IF(DemandaEstrateg_[[#This Row],[Tipo de Requerimiento]]="Proyecto",(DemandaEstrateg_[[#This Row],[% Avance ejecutado]]-DemandaEstrateg_[[#This Row],[% Avance Planificado]])/DemandaEstrateg_[[#This Row],[% Avance Planificado]],"No aplica")</f>
        <v>No aplica</v>
      </c>
      <c r="AN45" s="161" t="str">
        <f>IF(DemandaEstrateg_[[#This Row],[Tipo de Requerimiento]]="Proyecto",(DemandaEstrateg_[[#This Row],[% Avance ejecutado]]-DemandaEstrateg_[[#This Row],[% Avance Planificado]])/DemandaEstrateg_[[#This Row],[% Avance Planificado]],"No aplica")</f>
        <v>No aplica</v>
      </c>
      <c r="AO45" s="116"/>
      <c r="AP45" s="235">
        <v>46023</v>
      </c>
      <c r="AQ45" s="117" t="s">
        <v>91</v>
      </c>
      <c r="AR45" s="80" t="s">
        <v>99</v>
      </c>
      <c r="AS45" s="86" t="e">
        <f>VLOOKUP(DemandaEstrateg_[[#This Row],[Últ. Estado CQ 30.04]],#REF!,3,FALSE)</f>
        <v>#REF!</v>
      </c>
      <c r="AT45" s="79" t="e">
        <f>VLOOKUP(DemandaEstrateg_[[#This Row],[Estado TI]],#REF!,3,FALSE)</f>
        <v>#REF!</v>
      </c>
      <c r="AU45" s="143" t="s">
        <v>144</v>
      </c>
      <c r="AV45" s="131" t="s">
        <v>46</v>
      </c>
    </row>
    <row r="46" spans="1:48" ht="49.9" customHeight="1" thickBot="1" x14ac:dyDescent="0.25">
      <c r="A46" s="3">
        <v>42</v>
      </c>
      <c r="B46" s="77"/>
      <c r="C46" s="103"/>
      <c r="D46" s="77"/>
      <c r="E46" s="3" t="s">
        <v>94</v>
      </c>
      <c r="F46" s="254" t="s">
        <v>471</v>
      </c>
      <c r="G46" s="6"/>
      <c r="H46" s="3" t="s">
        <v>302</v>
      </c>
      <c r="I46" s="3"/>
      <c r="J46" s="3"/>
      <c r="K46" s="15"/>
      <c r="L46" s="75"/>
      <c r="M46" s="76"/>
      <c r="N46" s="77"/>
      <c r="O46" s="77"/>
      <c r="P46" s="77"/>
      <c r="Q46" s="77"/>
      <c r="R46" s="77"/>
      <c r="S46" s="77"/>
      <c r="T46" s="77"/>
      <c r="U46" s="77"/>
      <c r="V46" s="77"/>
      <c r="W46" s="15"/>
      <c r="X46" s="36"/>
      <c r="Y46" s="76"/>
      <c r="Z46" s="3"/>
      <c r="AA46" s="76"/>
      <c r="AB46" s="77"/>
      <c r="AC46" s="77"/>
      <c r="AD46" s="77"/>
      <c r="AE46" s="77"/>
      <c r="AF46" s="80"/>
      <c r="AG46" s="76"/>
      <c r="AH46" s="78">
        <v>45663</v>
      </c>
      <c r="AI46" s="157">
        <v>45747</v>
      </c>
      <c r="AJ46" s="157"/>
      <c r="AK46" s="82" t="s">
        <v>95</v>
      </c>
      <c r="AL46" s="82" t="s">
        <v>95</v>
      </c>
      <c r="AM46" s="161" t="str">
        <f>IF(DemandaEstrateg_[[#This Row],[Tipo de Requerimiento]]="Proyecto",(DemandaEstrateg_[[#This Row],[% Avance ejecutado]]-DemandaEstrateg_[[#This Row],[% Avance Planificado]])/DemandaEstrateg_[[#This Row],[% Avance Planificado]],"No aplica")</f>
        <v>No aplica</v>
      </c>
      <c r="AN46" s="161" t="str">
        <f>IF(DemandaEstrateg_[[#This Row],[Tipo de Requerimiento]]="Proyecto",(DemandaEstrateg_[[#This Row],[% Avance ejecutado]]-DemandaEstrateg_[[#This Row],[% Avance Planificado]])/DemandaEstrateg_[[#This Row],[% Avance Planificado]],"No aplica")</f>
        <v>No aplica</v>
      </c>
      <c r="AO46" s="116"/>
      <c r="AP46" s="235">
        <v>46023</v>
      </c>
      <c r="AQ46" s="117" t="s">
        <v>91</v>
      </c>
      <c r="AR46" s="80" t="s">
        <v>99</v>
      </c>
      <c r="AS46" s="86" t="e">
        <f>VLOOKUP(DemandaEstrateg_[[#This Row],[Últ. Estado CQ 30.04]],#REF!,3,FALSE)</f>
        <v>#REF!</v>
      </c>
      <c r="AT46" s="79" t="e">
        <f>VLOOKUP(DemandaEstrateg_[[#This Row],[Estado TI]],#REF!,3,FALSE)</f>
        <v>#REF!</v>
      </c>
      <c r="AU46" s="143" t="s">
        <v>144</v>
      </c>
      <c r="AV46" s="131" t="s">
        <v>46</v>
      </c>
    </row>
    <row r="47" spans="1:48" ht="49.9" customHeight="1" thickBot="1" x14ac:dyDescent="0.25">
      <c r="A47" s="3">
        <v>43</v>
      </c>
      <c r="B47" s="77"/>
      <c r="C47" s="103"/>
      <c r="D47" s="77"/>
      <c r="E47" s="3" t="s">
        <v>94</v>
      </c>
      <c r="F47" s="148" t="s">
        <v>472</v>
      </c>
      <c r="G47" s="6"/>
      <c r="H47" s="3" t="s">
        <v>302</v>
      </c>
      <c r="I47" s="3"/>
      <c r="J47" s="3"/>
      <c r="K47" s="15"/>
      <c r="L47" s="75"/>
      <c r="M47" s="76"/>
      <c r="N47" s="77"/>
      <c r="O47" s="77"/>
      <c r="P47" s="77"/>
      <c r="Q47" s="77"/>
      <c r="R47" s="77"/>
      <c r="S47" s="77"/>
      <c r="T47" s="77"/>
      <c r="U47" s="77"/>
      <c r="V47" s="77"/>
      <c r="W47" s="15"/>
      <c r="X47" s="36"/>
      <c r="Y47" s="76"/>
      <c r="Z47" s="3"/>
      <c r="AA47" s="76"/>
      <c r="AB47" s="77"/>
      <c r="AC47" s="77"/>
      <c r="AD47" s="77"/>
      <c r="AE47" s="77"/>
      <c r="AF47" s="80"/>
      <c r="AG47" s="76"/>
      <c r="AH47" s="78">
        <v>45691</v>
      </c>
      <c r="AI47" s="157">
        <v>45747</v>
      </c>
      <c r="AJ47" s="157"/>
      <c r="AK47" s="82" t="s">
        <v>95</v>
      </c>
      <c r="AL47" s="82" t="s">
        <v>95</v>
      </c>
      <c r="AM47" s="161" t="str">
        <f>IF(DemandaEstrateg_[[#This Row],[Tipo de Requerimiento]]="Proyecto",(DemandaEstrateg_[[#This Row],[% Avance ejecutado]]-DemandaEstrateg_[[#This Row],[% Avance Planificado]])/DemandaEstrateg_[[#This Row],[% Avance Planificado]],"No aplica")</f>
        <v>No aplica</v>
      </c>
      <c r="AN47" s="161" t="str">
        <f>IF(DemandaEstrateg_[[#This Row],[Tipo de Requerimiento]]="Proyecto",(DemandaEstrateg_[[#This Row],[% Avance ejecutado]]-DemandaEstrateg_[[#This Row],[% Avance Planificado]])/DemandaEstrateg_[[#This Row],[% Avance Planificado]],"No aplica")</f>
        <v>No aplica</v>
      </c>
      <c r="AO47" s="116"/>
      <c r="AP47" s="235">
        <v>46023</v>
      </c>
      <c r="AQ47" s="117" t="s">
        <v>91</v>
      </c>
      <c r="AR47" s="80" t="s">
        <v>99</v>
      </c>
      <c r="AS47" s="86" t="e">
        <f>VLOOKUP(DemandaEstrateg_[[#This Row],[Últ. Estado CQ 30.04]],#REF!,3,FALSE)</f>
        <v>#REF!</v>
      </c>
      <c r="AT47" s="79" t="e">
        <f>VLOOKUP(DemandaEstrateg_[[#This Row],[Estado TI]],#REF!,3,FALSE)</f>
        <v>#REF!</v>
      </c>
      <c r="AU47" s="143" t="s">
        <v>144</v>
      </c>
      <c r="AV47" s="131" t="s">
        <v>46</v>
      </c>
    </row>
    <row r="48" spans="1:48" ht="49.9" customHeight="1" thickBot="1" x14ac:dyDescent="0.25">
      <c r="A48" s="3">
        <v>44</v>
      </c>
      <c r="B48" s="77"/>
      <c r="C48" s="77"/>
      <c r="D48" s="77"/>
      <c r="E48" s="94" t="s">
        <v>90</v>
      </c>
      <c r="F48" s="254" t="s">
        <v>473</v>
      </c>
      <c r="G48" s="91"/>
      <c r="H48" s="3" t="s">
        <v>302</v>
      </c>
      <c r="I48" s="94"/>
      <c r="J48" s="3"/>
      <c r="K48" s="3"/>
      <c r="L48" s="100"/>
      <c r="M48" s="104"/>
      <c r="N48" s="83"/>
      <c r="O48" s="83"/>
      <c r="P48" s="83"/>
      <c r="Q48" s="83"/>
      <c r="R48" s="77"/>
      <c r="S48" s="77"/>
      <c r="T48" s="77"/>
      <c r="U48" s="77"/>
      <c r="V48" s="77"/>
      <c r="W48" s="105"/>
      <c r="X48" s="160"/>
      <c r="Y48" s="83"/>
      <c r="Z48" s="3"/>
      <c r="AA48" s="88"/>
      <c r="AB48" s="83"/>
      <c r="AC48" s="83"/>
      <c r="AD48" s="83"/>
      <c r="AE48" s="83"/>
      <c r="AF48" s="101"/>
      <c r="AG48" s="106"/>
      <c r="AH48" s="78">
        <f>'Portafolio P&amp;D'!Y37</f>
        <v>0</v>
      </c>
      <c r="AI48" s="81">
        <f>'Portafolio P&amp;D'!Z37</f>
        <v>0</v>
      </c>
      <c r="AJ48" s="81"/>
      <c r="AK48" s="82">
        <f>'Portafolio P&amp;D'!AA37</f>
        <v>1</v>
      </c>
      <c r="AL48" s="82">
        <f>'Portafolio P&amp;D'!AB37</f>
        <v>1</v>
      </c>
      <c r="AM48" s="161">
        <f>IF(DemandaEstrateg_[[#This Row],[Tipo de Requerimiento]]="Proyecto",(DemandaEstrateg_[[#This Row],[% Avance ejecutado]]-DemandaEstrateg_[[#This Row],[% Avance Planificado]])/DemandaEstrateg_[[#This Row],[% Avance Planificado]],"No aplica")</f>
        <v>0</v>
      </c>
      <c r="AN48" s="116">
        <f>IF(DemandaEstrateg_[[#This Row],[Tipo de Requerimiento]]="Proyecto",(DemandaEstrateg_[[#This Row],[% Avance ejecutado]]-DemandaEstrateg_[[#This Row],[% Avance Planificado]])/DemandaEstrateg_[[#This Row],[% Avance Planificado]],"No aplica")</f>
        <v>0</v>
      </c>
      <c r="AO48" s="116"/>
      <c r="AP48" s="169">
        <v>45962</v>
      </c>
      <c r="AQ48" s="80" t="s">
        <v>105</v>
      </c>
      <c r="AR48" s="199" t="s">
        <v>111</v>
      </c>
      <c r="AS48" s="199" t="s">
        <v>111</v>
      </c>
      <c r="AT48" s="79" t="e">
        <f>VLOOKUP(DemandaEstrateg_[[#This Row],[Estado TI]],#REF!,3,FALSE)</f>
        <v>#REF!</v>
      </c>
      <c r="AU48" s="143" t="s">
        <v>145</v>
      </c>
      <c r="AV48" s="137">
        <f>'Portafolio P&amp;D'!B37</f>
        <v>0</v>
      </c>
    </row>
    <row r="49" spans="1:48" ht="49.9" customHeight="1" thickBot="1" x14ac:dyDescent="0.25">
      <c r="A49" s="3">
        <v>45</v>
      </c>
      <c r="B49" s="77"/>
      <c r="C49" s="77"/>
      <c r="D49" s="77"/>
      <c r="E49" s="3" t="s">
        <v>90</v>
      </c>
      <c r="F49" s="148" t="s">
        <v>474</v>
      </c>
      <c r="G49" s="6"/>
      <c r="H49" s="3" t="s">
        <v>302</v>
      </c>
      <c r="I49" s="3"/>
      <c r="J49" s="3"/>
      <c r="K49" s="77"/>
      <c r="L49" s="75"/>
      <c r="M49" s="88"/>
      <c r="N49" s="77"/>
      <c r="O49" s="77"/>
      <c r="P49" s="77"/>
      <c r="Q49" s="77"/>
      <c r="R49" s="77"/>
      <c r="S49" s="77"/>
      <c r="T49" s="77"/>
      <c r="U49" s="77"/>
      <c r="V49" s="77"/>
      <c r="W49" s="15"/>
      <c r="X49" s="160"/>
      <c r="Y49" s="77"/>
      <c r="Z49" s="3"/>
      <c r="AA49" s="88"/>
      <c r="AB49" s="77"/>
      <c r="AC49" s="77"/>
      <c r="AD49" s="77"/>
      <c r="AE49" s="77"/>
      <c r="AF49" s="80"/>
      <c r="AG49" s="76"/>
      <c r="AH49" s="78">
        <v>45600</v>
      </c>
      <c r="AI49" s="81">
        <v>45518</v>
      </c>
      <c r="AJ49" s="81"/>
      <c r="AK49" s="82">
        <v>0.87</v>
      </c>
      <c r="AL49" s="82">
        <v>0.72</v>
      </c>
      <c r="AM49" s="161">
        <f>IF(DemandaEstrateg_[[#This Row],[Tipo de Requerimiento]]="Proyecto",(DemandaEstrateg_[[#This Row],[% Avance ejecutado]]-DemandaEstrateg_[[#This Row],[% Avance Planificado]])/DemandaEstrateg_[[#This Row],[% Avance Planificado]],"No aplica")</f>
        <v>-0.17241379310344832</v>
      </c>
      <c r="AN49" s="116">
        <f>IF(DemandaEstrateg_[[#This Row],[Tipo de Requerimiento]]="Proyecto",(DemandaEstrateg_[[#This Row],[% Avance ejecutado]]-DemandaEstrateg_[[#This Row],[% Avance Planificado]])/DemandaEstrateg_[[#This Row],[% Avance Planificado]],"No aplica")</f>
        <v>-0.17241379310344832</v>
      </c>
      <c r="AO49" s="116"/>
      <c r="AP49" s="235">
        <v>46248</v>
      </c>
      <c r="AQ49" s="80" t="s">
        <v>147</v>
      </c>
      <c r="AR49" s="80" t="s">
        <v>101</v>
      </c>
      <c r="AS49" s="199" t="s">
        <v>92</v>
      </c>
      <c r="AT49" s="79" t="e">
        <f>VLOOKUP(DemandaEstrateg_[[#This Row],[Estado TI]],#REF!,3,FALSE)</f>
        <v>#REF!</v>
      </c>
      <c r="AU49" s="143" t="s">
        <v>148</v>
      </c>
      <c r="AV49" s="137">
        <f>'Portafolio P&amp;D'!B36</f>
        <v>0</v>
      </c>
    </row>
    <row r="50" spans="1:48" ht="49.9" customHeight="1" thickBot="1" x14ac:dyDescent="0.25">
      <c r="A50" s="3">
        <v>46</v>
      </c>
      <c r="B50" s="77"/>
      <c r="C50" s="77"/>
      <c r="D50" s="77"/>
      <c r="E50" s="3" t="s">
        <v>94</v>
      </c>
      <c r="F50" s="254" t="s">
        <v>475</v>
      </c>
      <c r="G50" s="6"/>
      <c r="H50" s="3" t="s">
        <v>302</v>
      </c>
      <c r="I50" s="3"/>
      <c r="J50" s="3"/>
      <c r="K50" s="77"/>
      <c r="L50" s="75"/>
      <c r="M50" s="88"/>
      <c r="N50" s="77"/>
      <c r="O50" s="77"/>
      <c r="P50" s="77"/>
      <c r="Q50" s="77"/>
      <c r="R50" s="77"/>
      <c r="S50" s="77"/>
      <c r="T50" s="77"/>
      <c r="U50" s="77"/>
      <c r="V50" s="77"/>
      <c r="W50" s="85"/>
      <c r="X50" s="160"/>
      <c r="Y50" s="77"/>
      <c r="Z50" s="3"/>
      <c r="AA50" s="88"/>
      <c r="AB50" s="77"/>
      <c r="AC50" s="108"/>
      <c r="AD50" s="77"/>
      <c r="AE50" s="77"/>
      <c r="AF50" s="80"/>
      <c r="AG50" s="76"/>
      <c r="AH50" s="78"/>
      <c r="AI50" s="81"/>
      <c r="AJ50" s="81"/>
      <c r="AK50" s="82">
        <f>'Portafolio P&amp;D'!AA8</f>
        <v>0.87</v>
      </c>
      <c r="AL50" s="82">
        <f>'Portafolio P&amp;D'!AB8</f>
        <v>0.84</v>
      </c>
      <c r="AM50" s="161" t="str">
        <f>IF(DemandaEstrateg_[[#This Row],[Tipo de Requerimiento]]="Proyecto",(DemandaEstrateg_[[#This Row],[% Avance ejecutado]]-DemandaEstrateg_[[#This Row],[% Avance Planificado]])/DemandaEstrateg_[[#This Row],[% Avance Planificado]],"No aplica")</f>
        <v>No aplica</v>
      </c>
      <c r="AN50" s="116" t="str">
        <f>IF(DemandaEstrateg_[[#This Row],[Tipo de Requerimiento]]="Proyecto",(DemandaEstrateg_[[#This Row],[% Avance ejecutado]]-DemandaEstrateg_[[#This Row],[% Avance Planificado]])/DemandaEstrateg_[[#This Row],[% Avance Planificado]],"No aplica")</f>
        <v>No aplica</v>
      </c>
      <c r="AO50" s="116"/>
      <c r="AP50" s="169"/>
      <c r="AQ50" s="80"/>
      <c r="AR50" s="80" t="s">
        <v>101</v>
      </c>
      <c r="AS50" s="199" t="s">
        <v>92</v>
      </c>
      <c r="AT50" s="79" t="e">
        <f>VLOOKUP(DemandaEstrateg_[[#This Row],[Estado TI]],#REF!,3,FALSE)</f>
        <v>#REF!</v>
      </c>
      <c r="AU50" s="176" t="s">
        <v>149</v>
      </c>
      <c r="AV50" s="137" t="s">
        <v>46</v>
      </c>
    </row>
    <row r="51" spans="1:48" ht="49.9" customHeight="1" x14ac:dyDescent="0.2">
      <c r="A51" s="3">
        <v>47</v>
      </c>
      <c r="B51" s="109"/>
      <c r="C51" s="77"/>
      <c r="D51" s="108"/>
      <c r="E51" s="3" t="s">
        <v>94</v>
      </c>
      <c r="F51" s="148" t="s">
        <v>476</v>
      </c>
      <c r="G51" s="6"/>
      <c r="H51" s="3" t="s">
        <v>302</v>
      </c>
      <c r="I51" s="3"/>
      <c r="J51" s="3"/>
      <c r="K51" s="15"/>
      <c r="L51" s="75"/>
      <c r="M51" s="76"/>
      <c r="N51" s="77"/>
      <c r="O51" s="77"/>
      <c r="P51" s="77"/>
      <c r="Q51" s="77"/>
      <c r="R51" s="77"/>
      <c r="S51" s="77"/>
      <c r="T51" s="77"/>
      <c r="U51" s="77"/>
      <c r="V51" s="77"/>
      <c r="W51" s="15"/>
      <c r="X51" s="36"/>
      <c r="Y51" s="76"/>
      <c r="Z51" s="3"/>
      <c r="AA51" s="76"/>
      <c r="AB51" s="77"/>
      <c r="AC51" s="3"/>
      <c r="AD51" s="89"/>
      <c r="AE51" s="77"/>
      <c r="AF51" s="80"/>
      <c r="AG51" s="76"/>
      <c r="AH51" s="78">
        <v>45721</v>
      </c>
      <c r="AI51" s="158" t="s">
        <v>101</v>
      </c>
      <c r="AJ51" s="158"/>
      <c r="AK51" s="82" t="s">
        <v>95</v>
      </c>
      <c r="AL51" s="82" t="s">
        <v>95</v>
      </c>
      <c r="AM51" s="161" t="str">
        <f>IF(DemandaEstrateg_[[#This Row],[Tipo de Requerimiento]]="Proyecto",(DemandaEstrateg_[[#This Row],[% Avance ejecutado]]-DemandaEstrateg_[[#This Row],[% Avance Planificado]])/DemandaEstrateg_[[#This Row],[% Avance Planificado]],"No aplica")</f>
        <v>No aplica</v>
      </c>
      <c r="AN51" s="161" t="str">
        <f>IF(DemandaEstrateg_[[#This Row],[Tipo de Requerimiento]]="Proyecto",(DemandaEstrateg_[[#This Row],[% Avance ejecutado]]-DemandaEstrateg_[[#This Row],[% Avance Planificado]])/DemandaEstrateg_[[#This Row],[% Avance Planificado]],"No aplica")</f>
        <v>No aplica</v>
      </c>
      <c r="AO51" s="116"/>
      <c r="AP51" s="116"/>
      <c r="AQ51" s="80" t="s">
        <v>91</v>
      </c>
      <c r="AR51" s="80" t="s">
        <v>96</v>
      </c>
      <c r="AS51" s="86" t="e">
        <f>VLOOKUP(DemandaEstrateg_[[#This Row],[Últ. Estado CQ 30.04]],#REF!,3,FALSE)</f>
        <v>#REF!</v>
      </c>
      <c r="AT51" s="79" t="e">
        <f>VLOOKUP(DemandaEstrateg_[[#This Row],[Estado TI]],#REF!,3,FALSE)</f>
        <v>#REF!</v>
      </c>
      <c r="AU51" s="143" t="s">
        <v>150</v>
      </c>
      <c r="AV51" s="131" t="s">
        <v>46</v>
      </c>
    </row>
    <row r="52" spans="1:48" ht="49.9" customHeight="1" thickBot="1" x14ac:dyDescent="0.25">
      <c r="A52" s="3">
        <v>48</v>
      </c>
      <c r="B52" s="109"/>
      <c r="C52" s="77"/>
      <c r="D52" s="108"/>
      <c r="E52" s="3" t="s">
        <v>94</v>
      </c>
      <c r="F52" s="254" t="s">
        <v>477</v>
      </c>
      <c r="G52" s="6"/>
      <c r="H52" s="3" t="s">
        <v>302</v>
      </c>
      <c r="I52" s="3"/>
      <c r="J52" s="3"/>
      <c r="K52" s="15"/>
      <c r="L52" s="75"/>
      <c r="M52" s="76"/>
      <c r="N52" s="77"/>
      <c r="O52" s="77"/>
      <c r="P52" s="77"/>
      <c r="Q52" s="77"/>
      <c r="R52" s="77"/>
      <c r="S52" s="77"/>
      <c r="T52" s="77"/>
      <c r="U52" s="77"/>
      <c r="V52" s="77"/>
      <c r="W52" s="15"/>
      <c r="X52" s="36"/>
      <c r="Y52" s="76"/>
      <c r="Z52" s="3"/>
      <c r="AA52" s="76"/>
      <c r="AB52" s="77"/>
      <c r="AC52" s="3"/>
      <c r="AD52" s="89"/>
      <c r="AE52" s="77"/>
      <c r="AF52" s="80"/>
      <c r="AG52" s="76"/>
      <c r="AH52" s="78">
        <v>45705</v>
      </c>
      <c r="AI52" s="157">
        <v>45805</v>
      </c>
      <c r="AJ52" s="157"/>
      <c r="AK52" s="82" t="s">
        <v>95</v>
      </c>
      <c r="AL52" s="82" t="s">
        <v>95</v>
      </c>
      <c r="AM52" s="161" t="str">
        <f>IF(DemandaEstrateg_[[#This Row],[Tipo de Requerimiento]]="Proyecto",(DemandaEstrateg_[[#This Row],[% Avance ejecutado]]-DemandaEstrateg_[[#This Row],[% Avance Planificado]])/DemandaEstrateg_[[#This Row],[% Avance Planificado]],"No aplica")</f>
        <v>No aplica</v>
      </c>
      <c r="AN52" s="161" t="str">
        <f>IF(DemandaEstrateg_[[#This Row],[Tipo de Requerimiento]]="Proyecto",(DemandaEstrateg_[[#This Row],[% Avance ejecutado]]-DemandaEstrateg_[[#This Row],[% Avance Planificado]])/DemandaEstrateg_[[#This Row],[% Avance Planificado]],"No aplica")</f>
        <v>No aplica</v>
      </c>
      <c r="AO52" s="116"/>
      <c r="AP52" s="116"/>
      <c r="AQ52" s="80" t="s">
        <v>110</v>
      </c>
      <c r="AR52" s="80" t="s">
        <v>125</v>
      </c>
      <c r="AS52" s="86" t="e">
        <f>VLOOKUP(DemandaEstrateg_[[#This Row],[Últ. Estado CQ 30.04]],#REF!,3,FALSE)</f>
        <v>#REF!</v>
      </c>
      <c r="AT52" s="79" t="e">
        <f>VLOOKUP(DemandaEstrateg_[[#This Row],[Estado TI]],#REF!,3,FALSE)</f>
        <v>#REF!</v>
      </c>
      <c r="AU52" s="143" t="s">
        <v>150</v>
      </c>
      <c r="AV52" s="131" t="s">
        <v>46</v>
      </c>
    </row>
    <row r="53" spans="1:48" ht="49.9" customHeight="1" thickBot="1" x14ac:dyDescent="0.25">
      <c r="A53" s="3">
        <v>49</v>
      </c>
      <c r="B53" s="77"/>
      <c r="C53" s="3"/>
      <c r="D53" s="77"/>
      <c r="E53" s="3" t="s">
        <v>94</v>
      </c>
      <c r="F53" s="148" t="s">
        <v>478</v>
      </c>
      <c r="G53" s="6"/>
      <c r="H53" s="3" t="s">
        <v>302</v>
      </c>
      <c r="I53" s="3"/>
      <c r="J53" s="3"/>
      <c r="K53" s="15"/>
      <c r="L53" s="75"/>
      <c r="M53" s="88"/>
      <c r="N53" s="77"/>
      <c r="O53" s="77"/>
      <c r="P53" s="77"/>
      <c r="Q53" s="77"/>
      <c r="R53" s="77"/>
      <c r="S53" s="77"/>
      <c r="T53" s="77"/>
      <c r="U53" s="77"/>
      <c r="V53" s="77"/>
      <c r="W53" s="85"/>
      <c r="X53" s="36"/>
      <c r="Y53" s="76"/>
      <c r="Z53" s="3"/>
      <c r="AA53" s="88"/>
      <c r="AB53" s="77"/>
      <c r="AC53" s="77"/>
      <c r="AD53" s="77"/>
      <c r="AE53" s="77"/>
      <c r="AF53" s="80"/>
      <c r="AG53" s="76"/>
      <c r="AH53" s="78">
        <v>45624</v>
      </c>
      <c r="AI53" s="157">
        <v>45727</v>
      </c>
      <c r="AJ53" s="157">
        <v>45727</v>
      </c>
      <c r="AK53" s="82" t="s">
        <v>95</v>
      </c>
      <c r="AL53" s="82" t="s">
        <v>95</v>
      </c>
      <c r="AM53" s="161" t="str">
        <f>IF(DemandaEstrateg_[[#This Row],[Tipo de Requerimiento]]="Proyecto",(DemandaEstrateg_[[#This Row],[% Avance ejecutado]]-DemandaEstrateg_[[#This Row],[% Avance Planificado]])/DemandaEstrateg_[[#This Row],[% Avance Planificado]],"No aplica")</f>
        <v>No aplica</v>
      </c>
      <c r="AN53" s="161" t="str">
        <f>IF(DemandaEstrateg_[[#This Row],[Tipo de Requerimiento]]="Proyecto",(DemandaEstrateg_[[#This Row],[% Avance ejecutado]]-DemandaEstrateg_[[#This Row],[% Avance Planificado]])/DemandaEstrateg_[[#This Row],[% Avance Planificado]],"No aplica")</f>
        <v>No aplica</v>
      </c>
      <c r="AO53" s="116"/>
      <c r="AP53" s="236">
        <v>45717</v>
      </c>
      <c r="AQ53" s="80" t="s">
        <v>142</v>
      </c>
      <c r="AR53" s="77" t="s">
        <v>143</v>
      </c>
      <c r="AS53" s="86" t="e">
        <f>VLOOKUP(DemandaEstrateg_[[#This Row],[Últ. Estado CQ 30.04]],#REF!,3,FALSE)</f>
        <v>#REF!</v>
      </c>
      <c r="AT53" s="79" t="e">
        <f>VLOOKUP(DemandaEstrateg_[[#This Row],[Estado TI]],#REF!,3,FALSE)</f>
        <v>#REF!</v>
      </c>
      <c r="AU53" s="143" t="s">
        <v>151</v>
      </c>
      <c r="AV53" s="131" t="s">
        <v>46</v>
      </c>
    </row>
    <row r="54" spans="1:48" ht="49.9" customHeight="1" thickBot="1" x14ac:dyDescent="0.25">
      <c r="A54" s="3">
        <v>50</v>
      </c>
      <c r="B54" s="77"/>
      <c r="C54" s="77"/>
      <c r="D54" s="77"/>
      <c r="E54" s="3" t="s">
        <v>94</v>
      </c>
      <c r="F54" s="254" t="s">
        <v>479</v>
      </c>
      <c r="G54" s="6"/>
      <c r="H54" s="3" t="s">
        <v>302</v>
      </c>
      <c r="I54" s="3"/>
      <c r="J54" s="3"/>
      <c r="K54" s="75"/>
      <c r="L54" s="75"/>
      <c r="M54" s="88"/>
      <c r="N54" s="77"/>
      <c r="O54" s="77"/>
      <c r="P54" s="77"/>
      <c r="Q54" s="77"/>
      <c r="R54" s="77"/>
      <c r="S54" s="77"/>
      <c r="T54" s="77"/>
      <c r="U54" s="77"/>
      <c r="V54" s="77"/>
      <c r="W54" s="15"/>
      <c r="X54" s="36"/>
      <c r="Y54" s="77"/>
      <c r="Z54" s="3"/>
      <c r="AA54" s="88"/>
      <c r="AB54" s="77"/>
      <c r="AC54" s="77"/>
      <c r="AD54" s="77"/>
      <c r="AE54" s="77"/>
      <c r="AF54" s="80"/>
      <c r="AG54" s="76"/>
      <c r="AH54" s="98" t="s">
        <v>101</v>
      </c>
      <c r="AI54" s="157">
        <v>46037</v>
      </c>
      <c r="AJ54" s="157"/>
      <c r="AK54" s="82" t="s">
        <v>95</v>
      </c>
      <c r="AL54" s="82" t="s">
        <v>95</v>
      </c>
      <c r="AM54" s="161" t="str">
        <f>IF(DemandaEstrateg_[[#This Row],[Tipo de Requerimiento]]="Proyecto",(DemandaEstrateg_[[#This Row],[% Avance ejecutado]]-DemandaEstrateg_[[#This Row],[% Avance Planificado]])/DemandaEstrateg_[[#This Row],[% Avance Planificado]],"No aplica")</f>
        <v>No aplica</v>
      </c>
      <c r="AN54" s="161" t="str">
        <f>IF(DemandaEstrateg_[[#This Row],[Tipo de Requerimiento]]="Proyecto",(DemandaEstrateg_[[#This Row],[% Avance ejecutado]]-DemandaEstrateg_[[#This Row],[% Avance Planificado]])/DemandaEstrateg_[[#This Row],[% Avance Planificado]],"No aplica")</f>
        <v>No aplica</v>
      </c>
      <c r="AO54" s="116"/>
      <c r="AP54" s="295">
        <v>46248</v>
      </c>
      <c r="AQ54" s="80" t="s">
        <v>147</v>
      </c>
      <c r="AR54" s="80" t="s">
        <v>101</v>
      </c>
      <c r="AS54" s="86" t="s">
        <v>152</v>
      </c>
      <c r="AT54" s="79" t="e">
        <f>VLOOKUP(DemandaEstrateg_[[#This Row],[Estado TI]],#REF!,3,FALSE)</f>
        <v>#REF!</v>
      </c>
      <c r="AU54" s="143" t="s">
        <v>153</v>
      </c>
      <c r="AV54" s="131" t="s">
        <v>46</v>
      </c>
    </row>
    <row r="55" spans="1:48" ht="49.9" customHeight="1" thickBot="1" x14ac:dyDescent="0.25">
      <c r="A55" s="3">
        <v>51</v>
      </c>
      <c r="B55" s="77"/>
      <c r="C55" s="77"/>
      <c r="D55" s="77"/>
      <c r="E55" s="3" t="s">
        <v>90</v>
      </c>
      <c r="F55" s="148" t="s">
        <v>480</v>
      </c>
      <c r="G55" s="6"/>
      <c r="H55" s="3" t="s">
        <v>302</v>
      </c>
      <c r="I55" s="3"/>
      <c r="J55" s="3"/>
      <c r="K55" s="77"/>
      <c r="L55" s="75"/>
      <c r="M55" s="88"/>
      <c r="N55" s="77"/>
      <c r="O55" s="77"/>
      <c r="P55" s="77"/>
      <c r="Q55" s="77"/>
      <c r="R55" s="77"/>
      <c r="S55" s="77"/>
      <c r="T55" s="77"/>
      <c r="U55" s="77"/>
      <c r="V55" s="77"/>
      <c r="W55" s="15"/>
      <c r="X55" s="160"/>
      <c r="Y55" s="77"/>
      <c r="Z55" s="3"/>
      <c r="AA55" s="88"/>
      <c r="AB55" s="77"/>
      <c r="AC55" s="77"/>
      <c r="AD55" s="77"/>
      <c r="AE55" s="77"/>
      <c r="AF55" s="80"/>
      <c r="AG55" s="76"/>
      <c r="AH55" s="78">
        <f>'Portafolio P&amp;D'!Y40</f>
        <v>0</v>
      </c>
      <c r="AI55" s="81">
        <f>'Portafolio P&amp;D'!Z40</f>
        <v>0</v>
      </c>
      <c r="AJ55" s="81"/>
      <c r="AK55" s="82">
        <f>'Portafolio P&amp;D'!AA40</f>
        <v>0.57999999999999996</v>
      </c>
      <c r="AL55" s="82">
        <f>'Portafolio P&amp;D'!AB40</f>
        <v>0.45</v>
      </c>
      <c r="AM55" s="161">
        <f>IF(DemandaEstrateg_[[#This Row],[Tipo de Requerimiento]]="Proyecto",(DemandaEstrateg_[[#This Row],[% Avance ejecutado]]-DemandaEstrateg_[[#This Row],[% Avance Planificado]])/DemandaEstrateg_[[#This Row],[% Avance Planificado]],"No aplica")</f>
        <v>-0.22413793103448268</v>
      </c>
      <c r="AN55" s="116">
        <f>IF(DemandaEstrateg_[[#This Row],[Tipo de Requerimiento]]="Proyecto",(DemandaEstrateg_[[#This Row],[% Avance ejecutado]]-DemandaEstrateg_[[#This Row],[% Avance Planificado]])/DemandaEstrateg_[[#This Row],[% Avance Planificado]],"No aplica")</f>
        <v>-0.22413793103448268</v>
      </c>
      <c r="AO55" s="116"/>
      <c r="AP55" s="169">
        <v>45901</v>
      </c>
      <c r="AQ55" s="80" t="s">
        <v>154</v>
      </c>
      <c r="AR55" s="80" t="s">
        <v>101</v>
      </c>
      <c r="AS55" s="199" t="s">
        <v>111</v>
      </c>
      <c r="AT55" s="79" t="e">
        <f>VLOOKUP(DemandaEstrateg_[[#This Row],[Estado TI]],#REF!,3,FALSE)</f>
        <v>#REF!</v>
      </c>
      <c r="AU55" s="176" t="s">
        <v>155</v>
      </c>
      <c r="AV55" s="137">
        <f>'Portafolio P&amp;D'!B40</f>
        <v>0</v>
      </c>
    </row>
    <row r="56" spans="1:48" ht="49.9" customHeight="1" x14ac:dyDescent="0.2">
      <c r="A56" s="3">
        <v>52</v>
      </c>
      <c r="B56" s="77"/>
      <c r="C56" s="77"/>
      <c r="D56" s="77"/>
      <c r="E56" s="3" t="s">
        <v>94</v>
      </c>
      <c r="F56" s="254" t="s">
        <v>481</v>
      </c>
      <c r="G56" s="6"/>
      <c r="H56" s="3" t="s">
        <v>302</v>
      </c>
      <c r="I56" s="3"/>
      <c r="J56" s="3"/>
      <c r="K56" s="15"/>
      <c r="L56" s="75"/>
      <c r="M56" s="76"/>
      <c r="N56" s="77"/>
      <c r="O56" s="77"/>
      <c r="P56" s="77"/>
      <c r="Q56" s="77"/>
      <c r="R56" s="77"/>
      <c r="S56" s="77"/>
      <c r="T56" s="77"/>
      <c r="U56" s="77"/>
      <c r="V56" s="77"/>
      <c r="W56" s="15"/>
      <c r="X56" s="36"/>
      <c r="Y56" s="76"/>
      <c r="Z56" s="3"/>
      <c r="AA56" s="76"/>
      <c r="AB56" s="77"/>
      <c r="AC56" s="3"/>
      <c r="AD56" s="89"/>
      <c r="AE56" s="77"/>
      <c r="AF56" s="80"/>
      <c r="AG56" s="76"/>
      <c r="AH56" s="78">
        <v>45749</v>
      </c>
      <c r="AI56" s="158" t="s">
        <v>101</v>
      </c>
      <c r="AJ56" s="158"/>
      <c r="AK56" s="82" t="s">
        <v>95</v>
      </c>
      <c r="AL56" s="82" t="s">
        <v>95</v>
      </c>
      <c r="AM56" s="161" t="str">
        <f>IF(DemandaEstrateg_[[#This Row],[Tipo de Requerimiento]]="Proyecto",(DemandaEstrateg_[[#This Row],[% Avance ejecutado]]-DemandaEstrateg_[[#This Row],[% Avance Planificado]])/DemandaEstrateg_[[#This Row],[% Avance Planificado]],"No aplica")</f>
        <v>No aplica</v>
      </c>
      <c r="AN56" s="161" t="str">
        <f>IF(DemandaEstrateg_[[#This Row],[Tipo de Requerimiento]]="Proyecto",(DemandaEstrateg_[[#This Row],[% Avance ejecutado]]-DemandaEstrateg_[[#This Row],[% Avance Planificado]])/DemandaEstrateg_[[#This Row],[% Avance Planificado]],"No aplica")</f>
        <v>No aplica</v>
      </c>
      <c r="AO56" s="116"/>
      <c r="AP56" s="116"/>
      <c r="AQ56" s="80" t="s">
        <v>91</v>
      </c>
      <c r="AR56" s="298" t="s">
        <v>96</v>
      </c>
      <c r="AS56" s="86" t="e">
        <f>VLOOKUP(DemandaEstrateg_[[#This Row],[Últ. Estado CQ 30.04]],#REF!,3,FALSE)</f>
        <v>#REF!</v>
      </c>
      <c r="AT56" s="79" t="e">
        <f>VLOOKUP(DemandaEstrateg_[[#This Row],[Estado TI]],#REF!,3,FALSE)</f>
        <v>#REF!</v>
      </c>
      <c r="AU56" s="143" t="s">
        <v>156</v>
      </c>
      <c r="AV56" s="131" t="s">
        <v>46</v>
      </c>
    </row>
    <row r="57" spans="1:48" ht="49.9" customHeight="1" thickBot="1" x14ac:dyDescent="0.25">
      <c r="A57" s="3">
        <v>53</v>
      </c>
      <c r="B57" s="77"/>
      <c r="C57" s="77"/>
      <c r="D57" s="77"/>
      <c r="E57" s="3" t="s">
        <v>94</v>
      </c>
      <c r="F57" s="148" t="s">
        <v>482</v>
      </c>
      <c r="G57" s="6"/>
      <c r="H57" s="3" t="s">
        <v>302</v>
      </c>
      <c r="I57" s="3"/>
      <c r="J57" s="3"/>
      <c r="K57" s="75"/>
      <c r="L57" s="75"/>
      <c r="M57" s="88"/>
      <c r="N57" s="89"/>
      <c r="O57" s="89"/>
      <c r="P57" s="89"/>
      <c r="Q57" s="77"/>
      <c r="R57" s="77"/>
      <c r="S57" s="77"/>
      <c r="T57" s="77"/>
      <c r="U57" s="77"/>
      <c r="V57" s="77"/>
      <c r="W57" s="85"/>
      <c r="X57" s="36"/>
      <c r="Y57" s="77"/>
      <c r="Z57" s="3"/>
      <c r="AA57" s="88"/>
      <c r="AB57" s="77"/>
      <c r="AC57" s="77"/>
      <c r="AD57" s="77"/>
      <c r="AE57" s="77"/>
      <c r="AF57" s="80"/>
      <c r="AG57" s="76"/>
      <c r="AH57" s="78">
        <v>45785</v>
      </c>
      <c r="AI57" s="157">
        <v>45884</v>
      </c>
      <c r="AJ57" s="157"/>
      <c r="AK57" s="82" t="s">
        <v>95</v>
      </c>
      <c r="AL57" s="82" t="s">
        <v>95</v>
      </c>
      <c r="AM57" s="161" t="str">
        <f>IF(DemandaEstrateg_[[#This Row],[Tipo de Requerimiento]]="Proyecto",(DemandaEstrateg_[[#This Row],[% Avance ejecutado]]-DemandaEstrateg_[[#This Row],[% Avance Planificado]])/DemandaEstrateg_[[#This Row],[% Avance Planificado]],"No aplica")</f>
        <v>No aplica</v>
      </c>
      <c r="AN57" s="161" t="str">
        <f>IF(DemandaEstrateg_[[#This Row],[Tipo de Requerimiento]]="Proyecto",(DemandaEstrateg_[[#This Row],[% Avance ejecutado]]-DemandaEstrateg_[[#This Row],[% Avance Planificado]])/DemandaEstrateg_[[#This Row],[% Avance Planificado]],"No aplica")</f>
        <v>No aplica</v>
      </c>
      <c r="AO57" s="116"/>
      <c r="AP57" s="195"/>
      <c r="AQ57" s="80" t="s">
        <v>91</v>
      </c>
      <c r="AR57" s="80" t="s">
        <v>99</v>
      </c>
      <c r="AS57" s="86" t="e">
        <f>VLOOKUP(DemandaEstrateg_[[#This Row],[Últ. Estado CQ 30.04]],#REF!,3,FALSE)</f>
        <v>#REF!</v>
      </c>
      <c r="AT57" s="79" t="e">
        <f>VLOOKUP(DemandaEstrateg_[[#This Row],[Estado TI]],#REF!,3,FALSE)</f>
        <v>#REF!</v>
      </c>
      <c r="AU57" s="143" t="s">
        <v>157</v>
      </c>
      <c r="AV57" s="131" t="s">
        <v>46</v>
      </c>
    </row>
    <row r="58" spans="1:48" ht="49.9" customHeight="1" thickBot="1" x14ac:dyDescent="0.25">
      <c r="A58" s="3">
        <v>54</v>
      </c>
      <c r="B58" s="77"/>
      <c r="C58" s="77"/>
      <c r="D58" s="77"/>
      <c r="E58" s="3" t="s">
        <v>94</v>
      </c>
      <c r="F58" s="254" t="s">
        <v>483</v>
      </c>
      <c r="G58" s="6"/>
      <c r="H58" s="3" t="s">
        <v>302</v>
      </c>
      <c r="I58" s="3"/>
      <c r="J58" s="3"/>
      <c r="K58" s="75"/>
      <c r="L58" s="75"/>
      <c r="M58" s="88"/>
      <c r="N58" s="77"/>
      <c r="O58" s="77"/>
      <c r="P58" s="77"/>
      <c r="Q58" s="77"/>
      <c r="R58" s="77"/>
      <c r="S58" s="77"/>
      <c r="T58" s="77"/>
      <c r="U58" s="77"/>
      <c r="V58" s="77"/>
      <c r="W58" s="85"/>
      <c r="X58" s="36"/>
      <c r="Y58" s="77"/>
      <c r="Z58" s="3"/>
      <c r="AA58" s="88"/>
      <c r="AB58" s="77"/>
      <c r="AC58" s="77"/>
      <c r="AD58" s="77"/>
      <c r="AE58" s="77"/>
      <c r="AF58" s="80"/>
      <c r="AG58" s="76"/>
      <c r="AH58" s="78">
        <v>45797</v>
      </c>
      <c r="AI58" s="157">
        <v>45884</v>
      </c>
      <c r="AJ58" s="157"/>
      <c r="AK58" s="82" t="s">
        <v>95</v>
      </c>
      <c r="AL58" s="82" t="s">
        <v>95</v>
      </c>
      <c r="AM58" s="162" t="str">
        <f>IF(DemandaEstrateg_[[#This Row],[Tipo de Requerimiento]]="Proyecto",(DemandaEstrateg_[[#This Row],[% Avance ejecutado]]-DemandaEstrateg_[[#This Row],[% Avance Planificado]])/DemandaEstrateg_[[#This Row],[% Avance Planificado]],"No aplica")</f>
        <v>No aplica</v>
      </c>
      <c r="AN58" s="162" t="str">
        <f>IF(DemandaEstrateg_[[#This Row],[Tipo de Requerimiento]]="Proyecto",(DemandaEstrateg_[[#This Row],[% Avance ejecutado]]-DemandaEstrateg_[[#This Row],[% Avance Planificado]])/DemandaEstrateg_[[#This Row],[% Avance Planificado]],"No aplica")</f>
        <v>No aplica</v>
      </c>
      <c r="AO58" s="117"/>
      <c r="AP58" s="295">
        <v>46037</v>
      </c>
      <c r="AQ58" s="80" t="s">
        <v>91</v>
      </c>
      <c r="AR58" s="80" t="s">
        <v>99</v>
      </c>
      <c r="AS58" s="86" t="e">
        <f>VLOOKUP(DemandaEstrateg_[[#This Row],[Últ. Estado CQ 30.04]],#REF!,3,FALSE)</f>
        <v>#REF!</v>
      </c>
      <c r="AT58" s="79" t="e">
        <f>VLOOKUP(DemandaEstrateg_[[#This Row],[Estado TI]],#REF!,3,FALSE)</f>
        <v>#REF!</v>
      </c>
      <c r="AU58" s="143" t="s">
        <v>158</v>
      </c>
      <c r="AV58" s="131" t="s">
        <v>46</v>
      </c>
    </row>
    <row r="59" spans="1:48" ht="49.9" customHeight="1" thickBot="1" x14ac:dyDescent="0.25">
      <c r="A59" s="3">
        <v>55</v>
      </c>
      <c r="B59" s="77"/>
      <c r="C59" s="77"/>
      <c r="D59" s="77"/>
      <c r="E59" s="3" t="s">
        <v>90</v>
      </c>
      <c r="F59" s="148" t="s">
        <v>484</v>
      </c>
      <c r="G59" s="6"/>
      <c r="H59" s="3" t="s">
        <v>302</v>
      </c>
      <c r="I59" s="3"/>
      <c r="J59" s="3"/>
      <c r="K59" s="77"/>
      <c r="L59" s="75"/>
      <c r="M59" s="88"/>
      <c r="N59" s="77"/>
      <c r="O59" s="77"/>
      <c r="P59" s="77"/>
      <c r="Q59" s="77"/>
      <c r="R59" s="107"/>
      <c r="S59" s="77"/>
      <c r="T59" s="77"/>
      <c r="U59" s="77"/>
      <c r="V59" s="77"/>
      <c r="W59" s="85"/>
      <c r="X59" s="160"/>
      <c r="Y59" s="77"/>
      <c r="Z59" s="3"/>
      <c r="AA59" s="97"/>
      <c r="AB59" s="77"/>
      <c r="AC59" s="77"/>
      <c r="AD59" s="77"/>
      <c r="AE59" s="107"/>
      <c r="AF59" s="80"/>
      <c r="AG59" s="76"/>
      <c r="AH59" s="78">
        <v>45297</v>
      </c>
      <c r="AI59" s="81">
        <v>46534</v>
      </c>
      <c r="AJ59" s="81"/>
      <c r="AK59" s="82">
        <v>0.48</v>
      </c>
      <c r="AL59" s="82">
        <v>0.23</v>
      </c>
      <c r="AM59" s="162">
        <f>IF(DemandaEstrateg_[[#This Row],[Tipo de Requerimiento]]="Proyecto",(DemandaEstrateg_[[#This Row],[% Avance ejecutado]]-DemandaEstrateg_[[#This Row],[% Avance Planificado]])/DemandaEstrateg_[[#This Row],[% Avance Planificado]],"No aplica")</f>
        <v>-0.52083333333333326</v>
      </c>
      <c r="AN59" s="168">
        <f>IF(DemandaEstrateg_[[#This Row],[Tipo de Requerimiento]]="Proyecto",(DemandaEstrateg_[[#This Row],[% Avance ejecutado]]-DemandaEstrateg_[[#This Row],[% Avance Planificado]])/DemandaEstrateg_[[#This Row],[% Avance Planificado]],"No aplica")</f>
        <v>-0.52083333333333326</v>
      </c>
      <c r="AO59" s="117"/>
      <c r="AP59" s="169">
        <v>46534</v>
      </c>
      <c r="AQ59" s="80" t="s">
        <v>159</v>
      </c>
      <c r="AR59" s="80" t="s">
        <v>101</v>
      </c>
      <c r="AS59" s="199" t="s">
        <v>92</v>
      </c>
      <c r="AT59" s="79" t="e">
        <f>VLOOKUP(DemandaEstrateg_[[#This Row],[Estado TI]],#REF!,3,FALSE)</f>
        <v>#REF!</v>
      </c>
      <c r="AU59" s="176" t="s">
        <v>160</v>
      </c>
      <c r="AV59" s="137">
        <f>'Portafolio P&amp;D'!B35</f>
        <v>0</v>
      </c>
    </row>
    <row r="60" spans="1:48" ht="49.9" customHeight="1" thickBot="1" x14ac:dyDescent="0.25">
      <c r="A60" s="3">
        <v>56</v>
      </c>
      <c r="B60" s="109"/>
      <c r="C60" s="77"/>
      <c r="D60" s="77"/>
      <c r="E60" s="3" t="s">
        <v>94</v>
      </c>
      <c r="F60" s="254" t="s">
        <v>485</v>
      </c>
      <c r="G60" s="6"/>
      <c r="H60" s="3" t="s">
        <v>302</v>
      </c>
      <c r="I60" s="3"/>
      <c r="J60" s="3"/>
      <c r="K60" s="15"/>
      <c r="L60" s="76"/>
      <c r="M60" s="88"/>
      <c r="N60" s="77"/>
      <c r="O60" s="77"/>
      <c r="P60" s="77"/>
      <c r="Q60" s="77"/>
      <c r="R60" s="77"/>
      <c r="S60" s="77"/>
      <c r="T60" s="77"/>
      <c r="U60" s="77"/>
      <c r="V60" s="77"/>
      <c r="W60" s="15"/>
      <c r="X60" s="36"/>
      <c r="Y60" s="77"/>
      <c r="Z60" s="3"/>
      <c r="AA60" s="88"/>
      <c r="AB60" s="77"/>
      <c r="AC60" s="77"/>
      <c r="AD60" s="77"/>
      <c r="AE60" s="77"/>
      <c r="AF60" s="80"/>
      <c r="AG60" s="76"/>
      <c r="AH60" s="78">
        <v>45820</v>
      </c>
      <c r="AI60" s="158" t="s">
        <v>101</v>
      </c>
      <c r="AJ60" s="158">
        <v>46037</v>
      </c>
      <c r="AK60" s="82" t="s">
        <v>95</v>
      </c>
      <c r="AL60" s="82" t="s">
        <v>95</v>
      </c>
      <c r="AM60" s="162" t="str">
        <f>IF(DemandaEstrateg_[[#This Row],[Tipo de Requerimiento]]="Proyecto",(DemandaEstrateg_[[#This Row],[% Avance ejecutado]]-DemandaEstrateg_[[#This Row],[% Avance Planificado]])/DemandaEstrateg_[[#This Row],[% Avance Planificado]],"No aplica")</f>
        <v>No aplica</v>
      </c>
      <c r="AN60" s="162" t="str">
        <f>IF(DemandaEstrateg_[[#This Row],[Tipo de Requerimiento]]="Proyecto",(DemandaEstrateg_[[#This Row],[% Avance ejecutado]]-DemandaEstrateg_[[#This Row],[% Avance Planificado]])/DemandaEstrateg_[[#This Row],[% Avance Planificado]],"No aplica")</f>
        <v>No aplica</v>
      </c>
      <c r="AO60" s="117"/>
      <c r="AP60" s="235">
        <v>46023</v>
      </c>
      <c r="AQ60" s="117" t="s">
        <v>91</v>
      </c>
      <c r="AR60" s="107" t="s">
        <v>161</v>
      </c>
      <c r="AS60" s="86" t="e">
        <f>VLOOKUP(DemandaEstrateg_[[#This Row],[Últ. Estado CQ 30.04]],#REF!,3,FALSE)</f>
        <v>#REF!</v>
      </c>
      <c r="AT60" s="79" t="e">
        <f>VLOOKUP(DemandaEstrateg_[[#This Row],[Estado TI]],#REF!,3,FALSE)</f>
        <v>#REF!</v>
      </c>
      <c r="AU60" s="143" t="s">
        <v>162</v>
      </c>
      <c r="AV60" s="131" t="s">
        <v>46</v>
      </c>
    </row>
    <row r="61" spans="1:48" ht="49.9" customHeight="1" thickBot="1" x14ac:dyDescent="0.25">
      <c r="A61" s="3">
        <v>57</v>
      </c>
      <c r="B61" s="77"/>
      <c r="C61" s="77"/>
      <c r="D61" s="77"/>
      <c r="E61" s="3" t="s">
        <v>90</v>
      </c>
      <c r="F61" s="148" t="s">
        <v>486</v>
      </c>
      <c r="G61" s="6"/>
      <c r="H61" s="3" t="s">
        <v>302</v>
      </c>
      <c r="I61" s="3"/>
      <c r="J61" s="3"/>
      <c r="K61" s="108"/>
      <c r="L61" s="75"/>
      <c r="M61" s="88"/>
      <c r="N61" s="77"/>
      <c r="O61" s="77"/>
      <c r="P61" s="77"/>
      <c r="Q61" s="77"/>
      <c r="R61" s="77"/>
      <c r="S61" s="77"/>
      <c r="T61" s="77"/>
      <c r="U61" s="77"/>
      <c r="V61" s="77"/>
      <c r="W61" s="15"/>
      <c r="X61" s="160"/>
      <c r="Y61" s="77"/>
      <c r="Z61" s="3"/>
      <c r="AA61" s="88"/>
      <c r="AB61" s="77"/>
      <c r="AC61" s="77"/>
      <c r="AD61" s="108"/>
      <c r="AE61" s="108"/>
      <c r="AF61" s="80"/>
      <c r="AG61" s="76"/>
      <c r="AH61" s="110">
        <f>'Portafolio P&amp;D'!Y38</f>
        <v>0</v>
      </c>
      <c r="AI61" s="111">
        <f>'Portafolio P&amp;D'!Z38</f>
        <v>0</v>
      </c>
      <c r="AJ61" s="111"/>
      <c r="AK61" s="112">
        <f>'Portafolio P&amp;D'!AA38</f>
        <v>1</v>
      </c>
      <c r="AL61" s="112">
        <f>'Portafolio P&amp;D'!AB38</f>
        <v>1</v>
      </c>
      <c r="AM61" s="162">
        <f>IF(DemandaEstrateg_[[#This Row],[Tipo de Requerimiento]]="Proyecto",(DemandaEstrateg_[[#This Row],[% Avance ejecutado]]-DemandaEstrateg_[[#This Row],[% Avance Planificado]])/DemandaEstrateg_[[#This Row],[% Avance Planificado]],"No aplica")</f>
        <v>0</v>
      </c>
      <c r="AN61" s="168">
        <f>IF(DemandaEstrateg_[[#This Row],[Tipo de Requerimiento]]="Proyecto",(DemandaEstrateg_[[#This Row],[% Avance ejecutado]]-DemandaEstrateg_[[#This Row],[% Avance Planificado]])/DemandaEstrateg_[[#This Row],[% Avance Planificado]],"No aplica")</f>
        <v>0</v>
      </c>
      <c r="AO61" s="117"/>
      <c r="AP61" s="169">
        <v>45901</v>
      </c>
      <c r="AQ61" s="80" t="s">
        <v>154</v>
      </c>
      <c r="AR61" s="80" t="s">
        <v>101</v>
      </c>
      <c r="AS61" s="199" t="s">
        <v>111</v>
      </c>
      <c r="AT61" s="196" t="e">
        <f>VLOOKUP(DemandaEstrateg_[[#This Row],[Estado TI]],#REF!,3,FALSE)</f>
        <v>#REF!</v>
      </c>
      <c r="AU61" s="143" t="s">
        <v>163</v>
      </c>
      <c r="AV61" s="137">
        <f>'Portafolio P&amp;D'!B38</f>
        <v>0</v>
      </c>
    </row>
    <row r="62" spans="1:48" ht="49.9" customHeight="1" thickBot="1" x14ac:dyDescent="0.25">
      <c r="A62" s="3">
        <v>58</v>
      </c>
      <c r="B62" s="77"/>
      <c r="C62" s="77"/>
      <c r="D62" s="77"/>
      <c r="E62" s="3" t="s">
        <v>94</v>
      </c>
      <c r="F62" s="254" t="s">
        <v>487</v>
      </c>
      <c r="G62" s="113"/>
      <c r="H62" s="3" t="s">
        <v>302</v>
      </c>
      <c r="I62" s="3"/>
      <c r="J62" s="3"/>
      <c r="K62" s="15"/>
      <c r="L62" s="75"/>
      <c r="M62" s="88"/>
      <c r="N62" s="77"/>
      <c r="O62" s="77"/>
      <c r="P62" s="77"/>
      <c r="Q62" s="77"/>
      <c r="R62" s="77"/>
      <c r="S62" s="77"/>
      <c r="T62" s="77"/>
      <c r="U62" s="77"/>
      <c r="V62" s="77"/>
      <c r="W62" s="15"/>
      <c r="X62" s="36"/>
      <c r="Y62" s="77"/>
      <c r="Z62" s="3"/>
      <c r="AA62" s="88"/>
      <c r="AB62" s="77"/>
      <c r="AC62" s="77"/>
      <c r="AD62" s="77"/>
      <c r="AE62" s="77"/>
      <c r="AF62" s="80"/>
      <c r="AG62" s="76"/>
      <c r="AH62" s="78">
        <v>45824</v>
      </c>
      <c r="AI62" s="158">
        <v>45989</v>
      </c>
      <c r="AJ62" s="158"/>
      <c r="AK62" s="82" t="s">
        <v>95</v>
      </c>
      <c r="AL62" s="82" t="s">
        <v>95</v>
      </c>
      <c r="AM62" s="162" t="str">
        <f>IF(DemandaEstrateg_[[#This Row],[Tipo de Requerimiento]]="Proyecto",(DemandaEstrateg_[[#This Row],[% Avance ejecutado]]-DemandaEstrateg_[[#This Row],[% Avance Planificado]])/DemandaEstrateg_[[#This Row],[% Avance Planificado]],"No aplica")</f>
        <v>No aplica</v>
      </c>
      <c r="AN62" s="162" t="str">
        <f>IF(DemandaEstrateg_[[#This Row],[Tipo de Requerimiento]]="Proyecto",(DemandaEstrateg_[[#This Row],[% Avance ejecutado]]-DemandaEstrateg_[[#This Row],[% Avance Planificado]])/DemandaEstrateg_[[#This Row],[% Avance Planificado]],"No aplica")</f>
        <v>No aplica</v>
      </c>
      <c r="AO62" s="117"/>
      <c r="AP62" s="235">
        <v>46023</v>
      </c>
      <c r="AQ62" s="117" t="s">
        <v>91</v>
      </c>
      <c r="AR62" s="80" t="s">
        <v>99</v>
      </c>
      <c r="AS62" s="77" t="e">
        <f>VLOOKUP(DemandaEstrateg_[[#This Row],[Últ. Estado CQ 30.04]],#REF!,3,FALSE)</f>
        <v>#REF!</v>
      </c>
      <c r="AT62" s="79" t="e">
        <f>VLOOKUP(DemandaEstrateg_[[#This Row],[Estado TI]],#REF!,3,FALSE)</f>
        <v>#REF!</v>
      </c>
      <c r="AU62" s="143" t="s">
        <v>164</v>
      </c>
      <c r="AV62" s="131" t="s">
        <v>46</v>
      </c>
    </row>
    <row r="63" spans="1:48" ht="49.9" customHeight="1" thickBot="1" x14ac:dyDescent="0.25">
      <c r="A63" s="3">
        <v>59</v>
      </c>
      <c r="B63" s="77"/>
      <c r="C63" s="77"/>
      <c r="D63" s="77"/>
      <c r="E63" s="3" t="s">
        <v>94</v>
      </c>
      <c r="F63" s="148" t="s">
        <v>488</v>
      </c>
      <c r="G63" s="113"/>
      <c r="H63" s="3" t="s">
        <v>302</v>
      </c>
      <c r="I63" s="3"/>
      <c r="J63" s="3"/>
      <c r="K63" s="15"/>
      <c r="L63" s="75"/>
      <c r="M63" s="88"/>
      <c r="N63" s="77"/>
      <c r="O63" s="77"/>
      <c r="P63" s="77"/>
      <c r="Q63" s="77"/>
      <c r="R63" s="77"/>
      <c r="S63" s="77"/>
      <c r="T63" s="77"/>
      <c r="U63" s="77"/>
      <c r="V63" s="77"/>
      <c r="W63" s="15"/>
      <c r="X63" s="36"/>
      <c r="Y63" s="77"/>
      <c r="Z63" s="3"/>
      <c r="AA63" s="88"/>
      <c r="AB63" s="77"/>
      <c r="AC63" s="77"/>
      <c r="AD63" s="77"/>
      <c r="AE63" s="77"/>
      <c r="AF63" s="80"/>
      <c r="AG63" s="76"/>
      <c r="AH63" s="78">
        <v>45824</v>
      </c>
      <c r="AI63" s="158">
        <v>45989</v>
      </c>
      <c r="AJ63" s="158"/>
      <c r="AK63" s="82" t="s">
        <v>95</v>
      </c>
      <c r="AL63" s="82" t="s">
        <v>95</v>
      </c>
      <c r="AM63" s="162" t="str">
        <f>IF(DemandaEstrateg_[[#This Row],[Tipo de Requerimiento]]="Proyecto",(DemandaEstrateg_[[#This Row],[% Avance ejecutado]]-DemandaEstrateg_[[#This Row],[% Avance Planificado]])/DemandaEstrateg_[[#This Row],[% Avance Planificado]],"No aplica")</f>
        <v>No aplica</v>
      </c>
      <c r="AN63" s="162" t="str">
        <f>IF(DemandaEstrateg_[[#This Row],[Tipo de Requerimiento]]="Proyecto",(DemandaEstrateg_[[#This Row],[% Avance ejecutado]]-DemandaEstrateg_[[#This Row],[% Avance Planificado]])/DemandaEstrateg_[[#This Row],[% Avance Planificado]],"No aplica")</f>
        <v>No aplica</v>
      </c>
      <c r="AO63" s="117"/>
      <c r="AP63" s="235">
        <v>46023</v>
      </c>
      <c r="AQ63" s="117" t="s">
        <v>91</v>
      </c>
      <c r="AR63" s="80" t="s">
        <v>99</v>
      </c>
      <c r="AS63" s="77" t="e">
        <f>VLOOKUP(DemandaEstrateg_[[#This Row],[Últ. Estado CQ 30.04]],#REF!,3,FALSE)</f>
        <v>#REF!</v>
      </c>
      <c r="AT63" s="79" t="e">
        <f>VLOOKUP(DemandaEstrateg_[[#This Row],[Estado TI]],#REF!,3,FALSE)</f>
        <v>#REF!</v>
      </c>
      <c r="AU63" s="143" t="s">
        <v>164</v>
      </c>
      <c r="AV63" s="131" t="s">
        <v>46</v>
      </c>
    </row>
    <row r="64" spans="1:48" ht="49.9" customHeight="1" thickBot="1" x14ac:dyDescent="0.25">
      <c r="A64" s="3">
        <v>60</v>
      </c>
      <c r="B64" s="77"/>
      <c r="C64" s="77"/>
      <c r="D64" s="77"/>
      <c r="E64" s="3" t="s">
        <v>94</v>
      </c>
      <c r="F64" s="254" t="s">
        <v>489</v>
      </c>
      <c r="G64" s="113"/>
      <c r="H64" s="3" t="s">
        <v>302</v>
      </c>
      <c r="I64" s="3"/>
      <c r="J64" s="3"/>
      <c r="K64" s="15"/>
      <c r="L64" s="75"/>
      <c r="M64" s="88"/>
      <c r="N64" s="77"/>
      <c r="O64" s="77"/>
      <c r="P64" s="77"/>
      <c r="Q64" s="77"/>
      <c r="R64" s="77"/>
      <c r="S64" s="77"/>
      <c r="T64" s="77"/>
      <c r="U64" s="77"/>
      <c r="V64" s="77"/>
      <c r="W64" s="15"/>
      <c r="X64" s="36"/>
      <c r="Y64" s="77"/>
      <c r="Z64" s="3"/>
      <c r="AA64" s="88"/>
      <c r="AB64" s="77"/>
      <c r="AC64" s="77"/>
      <c r="AD64" s="77"/>
      <c r="AE64" s="77"/>
      <c r="AF64" s="80"/>
      <c r="AG64" s="76"/>
      <c r="AH64" s="78">
        <v>45824</v>
      </c>
      <c r="AI64" s="158">
        <v>45989</v>
      </c>
      <c r="AJ64" s="158"/>
      <c r="AK64" s="82" t="s">
        <v>95</v>
      </c>
      <c r="AL64" s="82" t="s">
        <v>95</v>
      </c>
      <c r="AM64" s="162" t="str">
        <f>IF(DemandaEstrateg_[[#This Row],[Tipo de Requerimiento]]="Proyecto",(DemandaEstrateg_[[#This Row],[% Avance ejecutado]]-DemandaEstrateg_[[#This Row],[% Avance Planificado]])/DemandaEstrateg_[[#This Row],[% Avance Planificado]],"No aplica")</f>
        <v>No aplica</v>
      </c>
      <c r="AN64" s="162" t="str">
        <f>IF(DemandaEstrateg_[[#This Row],[Tipo de Requerimiento]]="Proyecto",(DemandaEstrateg_[[#This Row],[% Avance ejecutado]]-DemandaEstrateg_[[#This Row],[% Avance Planificado]])/DemandaEstrateg_[[#This Row],[% Avance Planificado]],"No aplica")</f>
        <v>No aplica</v>
      </c>
      <c r="AO64" s="117"/>
      <c r="AP64" s="235">
        <v>46023</v>
      </c>
      <c r="AQ64" s="117" t="s">
        <v>91</v>
      </c>
      <c r="AR64" s="80" t="s">
        <v>99</v>
      </c>
      <c r="AS64" s="77" t="e">
        <f>VLOOKUP(DemandaEstrateg_[[#This Row],[Últ. Estado CQ 30.04]],#REF!,3,FALSE)</f>
        <v>#REF!</v>
      </c>
      <c r="AT64" s="79" t="e">
        <f>VLOOKUP(DemandaEstrateg_[[#This Row],[Estado TI]],#REF!,3,FALSE)</f>
        <v>#REF!</v>
      </c>
      <c r="AU64" s="143" t="s">
        <v>164</v>
      </c>
      <c r="AV64" s="131" t="s">
        <v>46</v>
      </c>
    </row>
    <row r="65" spans="1:48" ht="49.9" customHeight="1" thickBot="1" x14ac:dyDescent="0.25">
      <c r="A65" s="3">
        <v>61</v>
      </c>
      <c r="B65" s="77"/>
      <c r="C65" s="77"/>
      <c r="D65" s="77"/>
      <c r="E65" s="3" t="s">
        <v>94</v>
      </c>
      <c r="F65" s="148" t="s">
        <v>490</v>
      </c>
      <c r="G65" s="113"/>
      <c r="H65" s="3" t="s">
        <v>302</v>
      </c>
      <c r="I65" s="3"/>
      <c r="J65" s="3"/>
      <c r="K65" s="15"/>
      <c r="L65" s="75"/>
      <c r="M65" s="88"/>
      <c r="N65" s="77"/>
      <c r="O65" s="77"/>
      <c r="P65" s="77"/>
      <c r="Q65" s="77"/>
      <c r="R65" s="77"/>
      <c r="S65" s="77"/>
      <c r="T65" s="77"/>
      <c r="U65" s="77"/>
      <c r="V65" s="77"/>
      <c r="W65" s="15"/>
      <c r="X65" s="36"/>
      <c r="Y65" s="77"/>
      <c r="Z65" s="3"/>
      <c r="AA65" s="88"/>
      <c r="AB65" s="77"/>
      <c r="AC65" s="77"/>
      <c r="AD65" s="77"/>
      <c r="AE65" s="77"/>
      <c r="AF65" s="80"/>
      <c r="AG65" s="76"/>
      <c r="AH65" s="78">
        <v>45824</v>
      </c>
      <c r="AI65" s="158">
        <v>45989</v>
      </c>
      <c r="AJ65" s="158"/>
      <c r="AK65" s="82" t="s">
        <v>95</v>
      </c>
      <c r="AL65" s="82" t="s">
        <v>95</v>
      </c>
      <c r="AM65" s="162" t="str">
        <f>IF(DemandaEstrateg_[[#This Row],[Tipo de Requerimiento]]="Proyecto",(DemandaEstrateg_[[#This Row],[% Avance ejecutado]]-DemandaEstrateg_[[#This Row],[% Avance Planificado]])/DemandaEstrateg_[[#This Row],[% Avance Planificado]],"No aplica")</f>
        <v>No aplica</v>
      </c>
      <c r="AN65" s="162" t="str">
        <f>IF(DemandaEstrateg_[[#This Row],[Tipo de Requerimiento]]="Proyecto",(DemandaEstrateg_[[#This Row],[% Avance ejecutado]]-DemandaEstrateg_[[#This Row],[% Avance Planificado]])/DemandaEstrateg_[[#This Row],[% Avance Planificado]],"No aplica")</f>
        <v>No aplica</v>
      </c>
      <c r="AO65" s="117"/>
      <c r="AP65" s="235">
        <v>46023</v>
      </c>
      <c r="AQ65" s="117" t="s">
        <v>91</v>
      </c>
      <c r="AR65" s="80" t="s">
        <v>165</v>
      </c>
      <c r="AS65" s="77" t="e">
        <f>VLOOKUP(DemandaEstrateg_[[#This Row],[Últ. Estado CQ 30.04]],#REF!,3,FALSE)</f>
        <v>#REF!</v>
      </c>
      <c r="AT65" s="79" t="e">
        <f>VLOOKUP(DemandaEstrateg_[[#This Row],[Estado TI]],#REF!,3,FALSE)</f>
        <v>#REF!</v>
      </c>
      <c r="AU65" s="143" t="s">
        <v>164</v>
      </c>
      <c r="AV65" s="131" t="s">
        <v>46</v>
      </c>
    </row>
    <row r="66" spans="1:48" ht="49.9" customHeight="1" thickBot="1" x14ac:dyDescent="0.25">
      <c r="A66" s="3">
        <v>62</v>
      </c>
      <c r="B66" s="77"/>
      <c r="C66" s="77"/>
      <c r="D66" s="77"/>
      <c r="E66" s="3" t="s">
        <v>94</v>
      </c>
      <c r="F66" s="254" t="s">
        <v>491</v>
      </c>
      <c r="G66" s="113"/>
      <c r="H66" s="3" t="s">
        <v>302</v>
      </c>
      <c r="I66" s="3"/>
      <c r="J66" s="3"/>
      <c r="K66" s="15"/>
      <c r="L66" s="75"/>
      <c r="M66" s="88"/>
      <c r="N66" s="77"/>
      <c r="O66" s="77"/>
      <c r="P66" s="77"/>
      <c r="Q66" s="77"/>
      <c r="R66" s="77"/>
      <c r="S66" s="77"/>
      <c r="T66" s="77"/>
      <c r="U66" s="77"/>
      <c r="V66" s="77"/>
      <c r="W66" s="15"/>
      <c r="X66" s="36"/>
      <c r="Y66" s="77"/>
      <c r="Z66" s="3"/>
      <c r="AA66" s="88"/>
      <c r="AB66" s="77"/>
      <c r="AC66" s="77"/>
      <c r="AD66" s="77"/>
      <c r="AE66" s="77"/>
      <c r="AF66" s="80"/>
      <c r="AG66" s="76"/>
      <c r="AH66" s="78">
        <v>45824</v>
      </c>
      <c r="AI66" s="158">
        <v>45989</v>
      </c>
      <c r="AJ66" s="158"/>
      <c r="AK66" s="82" t="s">
        <v>95</v>
      </c>
      <c r="AL66" s="82" t="s">
        <v>95</v>
      </c>
      <c r="AM66" s="162" t="str">
        <f>IF(DemandaEstrateg_[[#This Row],[Tipo de Requerimiento]]="Proyecto",(DemandaEstrateg_[[#This Row],[% Avance ejecutado]]-DemandaEstrateg_[[#This Row],[% Avance Planificado]])/DemandaEstrateg_[[#This Row],[% Avance Planificado]],"No aplica")</f>
        <v>No aplica</v>
      </c>
      <c r="AN66" s="162" t="str">
        <f>IF(DemandaEstrateg_[[#This Row],[Tipo de Requerimiento]]="Proyecto",(DemandaEstrateg_[[#This Row],[% Avance ejecutado]]-DemandaEstrateg_[[#This Row],[% Avance Planificado]])/DemandaEstrateg_[[#This Row],[% Avance Planificado]],"No aplica")</f>
        <v>No aplica</v>
      </c>
      <c r="AO66" s="117"/>
      <c r="AP66" s="235">
        <v>46023</v>
      </c>
      <c r="AQ66" s="117" t="s">
        <v>91</v>
      </c>
      <c r="AR66" s="80" t="s">
        <v>99</v>
      </c>
      <c r="AS66" s="77" t="e">
        <f>VLOOKUP(DemandaEstrateg_[[#This Row],[Últ. Estado CQ 30.04]],#REF!,3,FALSE)</f>
        <v>#REF!</v>
      </c>
      <c r="AT66" s="79" t="e">
        <f>VLOOKUP(DemandaEstrateg_[[#This Row],[Estado TI]],#REF!,3,FALSE)</f>
        <v>#REF!</v>
      </c>
      <c r="AU66" s="143" t="s">
        <v>164</v>
      </c>
      <c r="AV66" s="131" t="s">
        <v>46</v>
      </c>
    </row>
    <row r="67" spans="1:48" ht="49.9" customHeight="1" thickBot="1" x14ac:dyDescent="0.25">
      <c r="A67" s="3">
        <v>63</v>
      </c>
      <c r="B67" s="77"/>
      <c r="C67" s="77"/>
      <c r="D67" s="77"/>
      <c r="E67" s="3" t="s">
        <v>94</v>
      </c>
      <c r="F67" s="148" t="s">
        <v>492</v>
      </c>
      <c r="G67" s="113"/>
      <c r="H67" s="3" t="s">
        <v>302</v>
      </c>
      <c r="I67" s="3"/>
      <c r="J67" s="3"/>
      <c r="K67" s="15"/>
      <c r="L67" s="75"/>
      <c r="M67" s="88"/>
      <c r="N67" s="77"/>
      <c r="O67" s="77"/>
      <c r="P67" s="77"/>
      <c r="Q67" s="77"/>
      <c r="R67" s="77"/>
      <c r="S67" s="77"/>
      <c r="T67" s="77"/>
      <c r="U67" s="77"/>
      <c r="V67" s="77"/>
      <c r="W67" s="15"/>
      <c r="X67" s="36"/>
      <c r="Y67" s="77"/>
      <c r="Z67" s="3"/>
      <c r="AA67" s="88"/>
      <c r="AB67" s="77"/>
      <c r="AC67" s="77"/>
      <c r="AD67" s="77"/>
      <c r="AE67" s="77"/>
      <c r="AF67" s="80"/>
      <c r="AG67" s="76"/>
      <c r="AH67" s="78">
        <v>45824</v>
      </c>
      <c r="AI67" s="158">
        <v>45989</v>
      </c>
      <c r="AJ67" s="158"/>
      <c r="AK67" s="82" t="s">
        <v>95</v>
      </c>
      <c r="AL67" s="82" t="s">
        <v>95</v>
      </c>
      <c r="AM67" s="162" t="str">
        <f>IF(DemandaEstrateg_[[#This Row],[Tipo de Requerimiento]]="Proyecto",(DemandaEstrateg_[[#This Row],[% Avance ejecutado]]-DemandaEstrateg_[[#This Row],[% Avance Planificado]])/DemandaEstrateg_[[#This Row],[% Avance Planificado]],"No aplica")</f>
        <v>No aplica</v>
      </c>
      <c r="AN67" s="162" t="str">
        <f>IF(DemandaEstrateg_[[#This Row],[Tipo de Requerimiento]]="Proyecto",(DemandaEstrateg_[[#This Row],[% Avance ejecutado]]-DemandaEstrateg_[[#This Row],[% Avance Planificado]])/DemandaEstrateg_[[#This Row],[% Avance Planificado]],"No aplica")</f>
        <v>No aplica</v>
      </c>
      <c r="AO67" s="117"/>
      <c r="AP67" s="235">
        <v>46023</v>
      </c>
      <c r="AQ67" s="117" t="s">
        <v>91</v>
      </c>
      <c r="AR67" s="80" t="s">
        <v>99</v>
      </c>
      <c r="AS67" s="77" t="e">
        <f>VLOOKUP(DemandaEstrateg_[[#This Row],[Últ. Estado CQ 30.04]],#REF!,3,FALSE)</f>
        <v>#REF!</v>
      </c>
      <c r="AT67" s="79" t="e">
        <f>VLOOKUP(DemandaEstrateg_[[#This Row],[Estado TI]],#REF!,3,FALSE)</f>
        <v>#REF!</v>
      </c>
      <c r="AU67" s="143" t="s">
        <v>164</v>
      </c>
      <c r="AV67" s="131" t="s">
        <v>46</v>
      </c>
    </row>
    <row r="68" spans="1:48" ht="49.9" customHeight="1" thickBot="1" x14ac:dyDescent="0.25">
      <c r="A68" s="3">
        <v>64</v>
      </c>
      <c r="B68" s="77"/>
      <c r="C68" s="77"/>
      <c r="D68" s="77"/>
      <c r="E68" s="3" t="s">
        <v>94</v>
      </c>
      <c r="F68" s="254" t="s">
        <v>493</v>
      </c>
      <c r="G68" s="6"/>
      <c r="H68" s="3" t="s">
        <v>302</v>
      </c>
      <c r="I68" s="3"/>
      <c r="J68" s="3"/>
      <c r="K68" s="15"/>
      <c r="L68" s="75"/>
      <c r="M68" s="89"/>
      <c r="N68" s="77"/>
      <c r="O68" s="77"/>
      <c r="P68" s="77"/>
      <c r="Q68" s="77"/>
      <c r="R68" s="77"/>
      <c r="S68" s="77"/>
      <c r="T68" s="77"/>
      <c r="U68" s="77"/>
      <c r="V68" s="77"/>
      <c r="W68" s="85"/>
      <c r="X68" s="36"/>
      <c r="Y68" s="77"/>
      <c r="Z68" s="3"/>
      <c r="AA68" s="88"/>
      <c r="AB68" s="77"/>
      <c r="AC68" s="77"/>
      <c r="AD68" s="77"/>
      <c r="AE68" s="77"/>
      <c r="AF68" s="80"/>
      <c r="AG68" s="76"/>
      <c r="AH68" s="98" t="s">
        <v>101</v>
      </c>
      <c r="AI68" s="158">
        <v>45989</v>
      </c>
      <c r="AJ68" s="158"/>
      <c r="AK68" s="82" t="s">
        <v>95</v>
      </c>
      <c r="AL68" s="82" t="s">
        <v>95</v>
      </c>
      <c r="AM68" s="162" t="str">
        <f>IF(DemandaEstrateg_[[#This Row],[Tipo de Requerimiento]]="Proyecto",(DemandaEstrateg_[[#This Row],[% Avance ejecutado]]-DemandaEstrateg_[[#This Row],[% Avance Planificado]])/DemandaEstrateg_[[#This Row],[% Avance Planificado]],"No aplica")</f>
        <v>No aplica</v>
      </c>
      <c r="AN68" s="162" t="str">
        <f>IF(DemandaEstrateg_[[#This Row],[Tipo de Requerimiento]]="Proyecto",(DemandaEstrateg_[[#This Row],[% Avance ejecutado]]-DemandaEstrateg_[[#This Row],[% Avance Planificado]])/DemandaEstrateg_[[#This Row],[% Avance Planificado]],"No aplica")</f>
        <v>No aplica</v>
      </c>
      <c r="AO68" s="117"/>
      <c r="AP68" s="235">
        <v>46023</v>
      </c>
      <c r="AQ68" s="117" t="s">
        <v>91</v>
      </c>
      <c r="AR68" s="80" t="s">
        <v>101</v>
      </c>
      <c r="AS68" s="86" t="s">
        <v>152</v>
      </c>
      <c r="AT68" s="79" t="e">
        <f>VLOOKUP(DemandaEstrateg_[[#This Row],[Estado TI]],#REF!,3,FALSE)</f>
        <v>#REF!</v>
      </c>
      <c r="AU68" s="143" t="s">
        <v>166</v>
      </c>
      <c r="AV68" s="131" t="s">
        <v>46</v>
      </c>
    </row>
    <row r="69" spans="1:48" ht="25.5" x14ac:dyDescent="0.2">
      <c r="A69" s="3">
        <v>65</v>
      </c>
      <c r="B69" s="178"/>
      <c r="C69" s="178"/>
      <c r="D69" s="178"/>
      <c r="E69" s="3" t="s">
        <v>94</v>
      </c>
      <c r="F69" s="148" t="s">
        <v>494</v>
      </c>
      <c r="G69" s="180"/>
      <c r="H69" s="179" t="s">
        <v>302</v>
      </c>
      <c r="I69" s="179"/>
      <c r="J69" s="179"/>
      <c r="K69" s="181"/>
      <c r="L69" s="182"/>
      <c r="M69" s="183"/>
      <c r="N69" s="178"/>
      <c r="O69" s="184"/>
      <c r="P69" s="184"/>
      <c r="Q69" s="178"/>
      <c r="R69" s="77"/>
      <c r="S69" s="77"/>
      <c r="T69" s="77"/>
      <c r="U69" s="178"/>
      <c r="V69" s="178"/>
      <c r="W69" s="85"/>
      <c r="X69" s="36"/>
      <c r="Y69" s="182"/>
      <c r="Z69" s="3"/>
      <c r="AA69" s="88"/>
      <c r="AB69" s="77"/>
      <c r="AC69" s="77"/>
      <c r="AD69" s="77"/>
      <c r="AE69" s="178"/>
      <c r="AF69" s="185"/>
      <c r="AG69" s="186"/>
      <c r="AH69" s="193"/>
      <c r="AI69" s="194"/>
      <c r="AJ69" s="194"/>
      <c r="AK69" s="187"/>
      <c r="AL69" s="187"/>
      <c r="AM69" s="188" t="str">
        <f>IF(DemandaEstrateg_[[#This Row],[Tipo de Requerimiento]]="Proyecto",(DemandaEstrateg_[[#This Row],[% Avance ejecutado]]-DemandaEstrateg_[[#This Row],[% Avance Planificado]])/DemandaEstrateg_[[#This Row],[% Avance Planificado]],"No aplica")</f>
        <v>No aplica</v>
      </c>
      <c r="AN69" s="189" t="str">
        <f>IF(DemandaEstrateg_[[#This Row],[Tipo de Requerimiento]]="Proyecto",(DemandaEstrateg_[[#This Row],[% Avance ejecutado]]-DemandaEstrateg_[[#This Row],[% Avance Planificado]])/DemandaEstrateg_[[#This Row],[% Avance Planificado]],"No aplica")</f>
        <v>No aplica</v>
      </c>
      <c r="AO69" s="190"/>
      <c r="AP69" s="192"/>
      <c r="AQ69" s="192"/>
      <c r="AR69" s="201" t="s">
        <v>99</v>
      </c>
      <c r="AS69" s="77" t="e">
        <f>VLOOKUP(DemandaEstrateg_[[#This Row],[Últ. Estado CQ 30.04]],#REF!,3,FALSE)</f>
        <v>#REF!</v>
      </c>
      <c r="AT69" s="79" t="e">
        <f>VLOOKUP(DemandaEstrateg_[[#This Row],[Estado TI]],#REF!,3,FALSE)</f>
        <v>#REF!</v>
      </c>
      <c r="AU69" s="191" t="s">
        <v>167</v>
      </c>
      <c r="AV69" s="131" t="s">
        <v>46</v>
      </c>
    </row>
    <row r="70" spans="1:48" ht="71.25" customHeight="1" thickBot="1" x14ac:dyDescent="0.25">
      <c r="A70" s="3">
        <v>66</v>
      </c>
      <c r="B70" s="178"/>
      <c r="C70" s="178"/>
      <c r="D70" s="178"/>
      <c r="E70" s="3" t="s">
        <v>90</v>
      </c>
      <c r="F70" s="254" t="s">
        <v>495</v>
      </c>
      <c r="G70" s="243"/>
      <c r="H70" s="179" t="s">
        <v>302</v>
      </c>
      <c r="I70" s="179"/>
      <c r="J70" s="179"/>
      <c r="K70" s="181"/>
      <c r="L70" s="182"/>
      <c r="M70" s="183"/>
      <c r="N70" s="178"/>
      <c r="O70" s="184"/>
      <c r="P70" s="184"/>
      <c r="Q70" s="178"/>
      <c r="R70" s="178"/>
      <c r="S70" s="178"/>
      <c r="T70" s="238"/>
      <c r="U70" s="178"/>
      <c r="V70" s="178"/>
      <c r="W70" s="239"/>
      <c r="X70" s="240"/>
      <c r="Y70" s="182"/>
      <c r="Z70" s="182"/>
      <c r="AA70" s="248"/>
      <c r="AB70" s="178"/>
      <c r="AC70" s="178"/>
      <c r="AD70" s="249"/>
      <c r="AE70" s="249"/>
      <c r="AF70" s="185"/>
      <c r="AG70" s="186"/>
      <c r="AH70" s="241">
        <v>45965</v>
      </c>
      <c r="AI70" s="242">
        <v>46234</v>
      </c>
      <c r="AJ70" s="242"/>
      <c r="AK70" s="187">
        <v>0.27</v>
      </c>
      <c r="AL70" s="187">
        <v>0.27</v>
      </c>
      <c r="AM70" s="188">
        <f>IF(DemandaEstrateg_[[#This Row],[Tipo de Requerimiento]]="Proyecto",(DemandaEstrateg_[[#This Row],[% Avance ejecutado]]-DemandaEstrateg_[[#This Row],[% Avance Planificado]])/DemandaEstrateg_[[#This Row],[% Avance Planificado]],"No aplica")</f>
        <v>0</v>
      </c>
      <c r="AN70" s="189">
        <f>IF(DemandaEstrateg_[[#This Row],[Tipo de Requerimiento]]="Proyecto",(DemandaEstrateg_[[#This Row],[% Avance ejecutado]]-DemandaEstrateg_[[#This Row],[% Avance Planificado]])/DemandaEstrateg_[[#This Row],[% Avance Planificado]],"No aplica")</f>
        <v>0</v>
      </c>
      <c r="AO70" s="190"/>
      <c r="AP70" s="292">
        <v>46555</v>
      </c>
      <c r="AQ70" s="292" t="s">
        <v>159</v>
      </c>
      <c r="AR70" s="244" t="s">
        <v>99</v>
      </c>
      <c r="AS70" s="245" t="e">
        <f>VLOOKUP(DemandaEstrateg_[[#This Row],[Últ. Estado CQ 30.04]],#REF!,3,FALSE)</f>
        <v>#REF!</v>
      </c>
      <c r="AT70" s="246" t="e">
        <f>VLOOKUP(DemandaEstrateg_[[#This Row],[Estado TI]],#REF!,3,FALSE)</f>
        <v>#REF!</v>
      </c>
      <c r="AU70" s="191" t="s">
        <v>168</v>
      </c>
      <c r="AV70" s="247">
        <f>'Portafolio P&amp;D'!B42</f>
        <v>0</v>
      </c>
    </row>
    <row r="71" spans="1:48" ht="78.75" customHeight="1" thickBot="1" x14ac:dyDescent="0.25">
      <c r="A71" s="3">
        <v>67</v>
      </c>
      <c r="B71" s="178"/>
      <c r="C71" s="77"/>
      <c r="D71" s="178"/>
      <c r="E71" s="3" t="s">
        <v>94</v>
      </c>
      <c r="F71" s="148" t="s">
        <v>496</v>
      </c>
      <c r="G71" s="180"/>
      <c r="H71" s="179" t="s">
        <v>302</v>
      </c>
      <c r="I71" s="3"/>
      <c r="J71" s="3"/>
      <c r="K71" s="15"/>
      <c r="L71" s="75"/>
      <c r="M71" s="89"/>
      <c r="N71" s="77"/>
      <c r="O71" s="77"/>
      <c r="P71" s="77"/>
      <c r="Q71" s="77"/>
      <c r="R71" s="77"/>
      <c r="S71" s="77"/>
      <c r="T71" s="77"/>
      <c r="U71" s="77"/>
      <c r="V71" s="77"/>
      <c r="W71" s="85"/>
      <c r="X71" s="36"/>
      <c r="Y71" s="77"/>
      <c r="Z71" s="3"/>
      <c r="AA71" s="88"/>
      <c r="AB71" s="178"/>
      <c r="AC71" s="178"/>
      <c r="AD71" s="77"/>
      <c r="AE71" s="77"/>
      <c r="AF71" s="185"/>
      <c r="AG71" s="186"/>
      <c r="AH71" s="241">
        <v>45838</v>
      </c>
      <c r="AI71" s="158">
        <v>45989</v>
      </c>
      <c r="AJ71" s="299"/>
      <c r="AK71" s="187"/>
      <c r="AL71" s="187"/>
      <c r="AM71" s="188" t="str">
        <f>IF(DemandaEstrateg_[[#This Row],[Tipo de Requerimiento]]="Proyecto",(DemandaEstrateg_[[#This Row],[% Avance ejecutado]]-DemandaEstrateg_[[#This Row],[% Avance Planificado]])/DemandaEstrateg_[[#This Row],[% Avance Planificado]],"No aplica")</f>
        <v>No aplica</v>
      </c>
      <c r="AN71" s="189" t="str">
        <f>IF(DemandaEstrateg_[[#This Row],[Tipo de Requerimiento]]="Proyecto",(DemandaEstrateg_[[#This Row],[% Avance ejecutado]]-DemandaEstrateg_[[#This Row],[% Avance Planificado]])/DemandaEstrateg_[[#This Row],[% Avance Planificado]],"No aplica")</f>
        <v>No aplica</v>
      </c>
      <c r="AO71" s="190"/>
      <c r="AP71" s="235">
        <v>46023</v>
      </c>
      <c r="AQ71" s="117" t="s">
        <v>91</v>
      </c>
      <c r="AR71" s="244" t="s">
        <v>99</v>
      </c>
      <c r="AS71" s="245" t="e">
        <f>VLOOKUP(DemandaEstrateg_[[#This Row],[Últ. Estado CQ 30.04]],#REF!,3,FALSE)</f>
        <v>#REF!</v>
      </c>
      <c r="AT71" s="79" t="e">
        <f>VLOOKUP(DemandaEstrateg_[[#This Row],[Estado TI]],#REF!,3,FALSE)</f>
        <v>#REF!</v>
      </c>
      <c r="AU71" s="191" t="s">
        <v>169</v>
      </c>
      <c r="AV71" s="131" t="s">
        <v>46</v>
      </c>
    </row>
    <row r="72" spans="1:48" ht="90" thickBot="1" x14ac:dyDescent="0.25">
      <c r="A72" s="3">
        <v>68</v>
      </c>
      <c r="B72" s="178"/>
      <c r="C72" s="77"/>
      <c r="D72" s="178"/>
      <c r="E72" s="3" t="s">
        <v>94</v>
      </c>
      <c r="F72" s="254" t="s">
        <v>497</v>
      </c>
      <c r="G72" s="180" t="s">
        <v>170</v>
      </c>
      <c r="H72" s="179" t="s">
        <v>302</v>
      </c>
      <c r="I72" s="3"/>
      <c r="J72" s="3"/>
      <c r="K72" s="15"/>
      <c r="L72" s="75"/>
      <c r="M72" s="89"/>
      <c r="N72" s="77"/>
      <c r="O72" s="77"/>
      <c r="P72" s="77"/>
      <c r="Q72" s="77"/>
      <c r="R72" s="77"/>
      <c r="S72" s="77"/>
      <c r="T72" s="77"/>
      <c r="U72" s="77"/>
      <c r="V72" s="77"/>
      <c r="W72" s="85"/>
      <c r="X72" s="36"/>
      <c r="Y72" s="77"/>
      <c r="Z72" s="3"/>
      <c r="AA72" s="88"/>
      <c r="AB72" s="178"/>
      <c r="AC72" s="178"/>
      <c r="AD72" s="77"/>
      <c r="AE72" s="77"/>
      <c r="AF72" s="185"/>
      <c r="AG72" s="186"/>
      <c r="AH72" s="241">
        <v>45838</v>
      </c>
      <c r="AI72" s="158">
        <v>45989</v>
      </c>
      <c r="AJ72" s="299"/>
      <c r="AK72" s="187"/>
      <c r="AL72" s="187"/>
      <c r="AM72" s="188" t="str">
        <f>IF(DemandaEstrateg_[[#This Row],[Tipo de Requerimiento]]="Proyecto",(DemandaEstrateg_[[#This Row],[% Avance ejecutado]]-DemandaEstrateg_[[#This Row],[% Avance Planificado]])/DemandaEstrateg_[[#This Row],[% Avance Planificado]],"No aplica")</f>
        <v>No aplica</v>
      </c>
      <c r="AN72" s="189" t="str">
        <f>IF(DemandaEstrateg_[[#This Row],[Tipo de Requerimiento]]="Proyecto",(DemandaEstrateg_[[#This Row],[% Avance ejecutado]]-DemandaEstrateg_[[#This Row],[% Avance Planificado]])/DemandaEstrateg_[[#This Row],[% Avance Planificado]],"No aplica")</f>
        <v>No aplica</v>
      </c>
      <c r="AO72" s="190"/>
      <c r="AP72" s="235">
        <v>46023</v>
      </c>
      <c r="AQ72" s="117" t="s">
        <v>91</v>
      </c>
      <c r="AR72" s="305" t="s">
        <v>165</v>
      </c>
      <c r="AS72" s="245" t="e">
        <f>VLOOKUP(DemandaEstrateg_[[#This Row],[Últ. Estado CQ 30.04]],#REF!,3,FALSE)</f>
        <v>#REF!</v>
      </c>
      <c r="AT72" s="79" t="e">
        <f>VLOOKUP(DemandaEstrateg_[[#This Row],[Estado TI]],#REF!,3,FALSE)</f>
        <v>#REF!</v>
      </c>
      <c r="AU72" s="191" t="s">
        <v>171</v>
      </c>
      <c r="AV72" s="131" t="s">
        <v>46</v>
      </c>
    </row>
    <row r="73" spans="1:48" ht="69.75" customHeight="1" thickBot="1" x14ac:dyDescent="0.25">
      <c r="A73" s="3">
        <v>69</v>
      </c>
      <c r="B73" s="178"/>
      <c r="C73" s="77"/>
      <c r="D73" s="77"/>
      <c r="E73" s="3" t="s">
        <v>90</v>
      </c>
      <c r="F73" s="148" t="s">
        <v>498</v>
      </c>
      <c r="G73" s="180" t="s">
        <v>172</v>
      </c>
      <c r="H73" s="179" t="s">
        <v>302</v>
      </c>
      <c r="I73" s="3"/>
      <c r="J73" s="179"/>
      <c r="K73" s="181"/>
      <c r="L73" s="182"/>
      <c r="M73" s="183"/>
      <c r="N73" s="178"/>
      <c r="O73" s="184"/>
      <c r="P73" s="184"/>
      <c r="Q73" s="178"/>
      <c r="R73" s="178"/>
      <c r="S73" s="178"/>
      <c r="T73" s="77"/>
      <c r="U73" s="178"/>
      <c r="V73" s="178"/>
      <c r="W73" s="239"/>
      <c r="X73" s="160"/>
      <c r="Y73" s="77"/>
      <c r="Z73" s="3"/>
      <c r="AA73" s="88"/>
      <c r="AB73" s="77"/>
      <c r="AC73" s="108"/>
      <c r="AD73" s="77"/>
      <c r="AE73" s="77"/>
      <c r="AF73" s="185"/>
      <c r="AG73" s="186"/>
      <c r="AH73" s="78">
        <v>45943</v>
      </c>
      <c r="AI73" s="81">
        <v>46356</v>
      </c>
      <c r="AJ73" s="242"/>
      <c r="AK73" s="187">
        <v>0.38</v>
      </c>
      <c r="AL73" s="187">
        <v>0.39</v>
      </c>
      <c r="AM73" s="188">
        <f>IF(DemandaEstrateg_[[#This Row],[Tipo de Requerimiento]]="Proyecto",(DemandaEstrateg_[[#This Row],[% Avance ejecutado]]-DemandaEstrateg_[[#This Row],[% Avance Planificado]])/DemandaEstrateg_[[#This Row],[% Avance Planificado]],"No aplica")</f>
        <v>2.6315789473684233E-2</v>
      </c>
      <c r="AN73" s="189">
        <f>IF(DemandaEstrateg_[[#This Row],[Tipo de Requerimiento]]="Proyecto",(DemandaEstrateg_[[#This Row],[% Avance ejecutado]]-DemandaEstrateg_[[#This Row],[% Avance Planificado]])/DemandaEstrateg_[[#This Row],[% Avance Planificado]],"No aplica")</f>
        <v>2.6315789473684233E-2</v>
      </c>
      <c r="AO73" s="190"/>
      <c r="AP73" s="169">
        <v>46266</v>
      </c>
      <c r="AQ73" s="80" t="s">
        <v>147</v>
      </c>
      <c r="AR73" s="244" t="s">
        <v>173</v>
      </c>
      <c r="AS73" s="199" t="s">
        <v>92</v>
      </c>
      <c r="AT73" s="246" t="e">
        <f>VLOOKUP(DemandaEstrateg_[[#This Row],[Estado TI]],#REF!,3,FALSE)</f>
        <v>#REF!</v>
      </c>
      <c r="AU73" s="191" t="s">
        <v>174</v>
      </c>
      <c r="AV73" s="137">
        <f>'Portafolio P&amp;D'!B8</f>
        <v>0</v>
      </c>
    </row>
    <row r="74" spans="1:48" ht="51.75" thickBot="1" x14ac:dyDescent="0.25">
      <c r="A74" s="3">
        <v>70</v>
      </c>
      <c r="B74" s="178"/>
      <c r="C74" s="177"/>
      <c r="D74" s="77"/>
      <c r="E74" s="3" t="s">
        <v>94</v>
      </c>
      <c r="F74" s="254" t="s">
        <v>499</v>
      </c>
      <c r="G74" s="180" t="s">
        <v>175</v>
      </c>
      <c r="H74" s="179" t="s">
        <v>302</v>
      </c>
      <c r="I74" s="179"/>
      <c r="J74" s="179"/>
      <c r="K74" s="181"/>
      <c r="L74" s="182"/>
      <c r="M74" s="183"/>
      <c r="N74" s="178"/>
      <c r="O74" s="184"/>
      <c r="P74" s="184"/>
      <c r="Q74" s="178"/>
      <c r="R74" s="178"/>
      <c r="S74" s="178"/>
      <c r="T74" s="238"/>
      <c r="U74" s="178"/>
      <c r="V74" s="178"/>
      <c r="W74" s="239"/>
      <c r="X74" s="240"/>
      <c r="Y74" s="182"/>
      <c r="Z74" s="182"/>
      <c r="AA74" s="183"/>
      <c r="AB74" s="178"/>
      <c r="AC74" s="178"/>
      <c r="AD74" s="178"/>
      <c r="AE74" s="178"/>
      <c r="AF74" s="185"/>
      <c r="AG74" s="186"/>
      <c r="AH74" s="241"/>
      <c r="AI74" s="242"/>
      <c r="AJ74" s="242"/>
      <c r="AK74" s="187"/>
      <c r="AL74" s="187"/>
      <c r="AM74" s="188" t="str">
        <f>IF(DemandaEstrateg_[[#This Row],[Tipo de Requerimiento]]="Proyecto",(DemandaEstrateg_[[#This Row],[% Avance ejecutado]]-DemandaEstrateg_[[#This Row],[% Avance Planificado]])/DemandaEstrateg_[[#This Row],[% Avance Planificado]],"No aplica")</f>
        <v>No aplica</v>
      </c>
      <c r="AN74" s="189" t="str">
        <f>IF(DemandaEstrateg_[[#This Row],[Tipo de Requerimiento]]="Proyecto",(DemandaEstrateg_[[#This Row],[% Avance ejecutado]]-DemandaEstrateg_[[#This Row],[% Avance Planificado]])/DemandaEstrateg_[[#This Row],[% Avance Planificado]],"No aplica")</f>
        <v>No aplica</v>
      </c>
      <c r="AO74" s="190"/>
      <c r="AP74" s="297">
        <v>46555</v>
      </c>
      <c r="AQ74" s="190" t="s">
        <v>159</v>
      </c>
      <c r="AR74" s="244" t="s">
        <v>101</v>
      </c>
      <c r="AS74" s="86" t="s">
        <v>152</v>
      </c>
      <c r="AT74" s="246" t="e">
        <f>VLOOKUP(DemandaEstrateg_[[#This Row],[Estado TI]],#REF!,3,FALSE)</f>
        <v>#REF!</v>
      </c>
      <c r="AU74" s="191" t="s">
        <v>176</v>
      </c>
      <c r="AV74" s="131" t="s">
        <v>46</v>
      </c>
    </row>
    <row r="75" spans="1:48" ht="51.75" thickBot="1" x14ac:dyDescent="0.25">
      <c r="A75" s="3">
        <v>71</v>
      </c>
      <c r="B75" s="245"/>
      <c r="C75" s="245"/>
      <c r="D75" s="178"/>
      <c r="E75" s="179" t="s">
        <v>94</v>
      </c>
      <c r="F75" s="148" t="s">
        <v>500</v>
      </c>
      <c r="G75" s="267" t="s">
        <v>177</v>
      </c>
      <c r="H75" s="179" t="s">
        <v>302</v>
      </c>
      <c r="I75" s="268"/>
      <c r="J75" s="179"/>
      <c r="K75" s="181"/>
      <c r="L75" s="269"/>
      <c r="M75" s="183"/>
      <c r="N75" s="245"/>
      <c r="O75" s="184"/>
      <c r="P75" s="184"/>
      <c r="Q75" s="270"/>
      <c r="R75" s="271"/>
      <c r="S75" s="251"/>
      <c r="T75" s="238"/>
      <c r="U75" s="178"/>
      <c r="V75" s="178"/>
      <c r="W75" s="239"/>
      <c r="X75" s="240"/>
      <c r="Y75" s="182"/>
      <c r="Z75" s="182"/>
      <c r="AA75" s="76"/>
      <c r="AB75" s="77"/>
      <c r="AC75" s="77"/>
      <c r="AD75" s="250"/>
      <c r="AE75" s="77"/>
      <c r="AF75" s="185"/>
      <c r="AG75" s="186"/>
      <c r="AH75" s="241">
        <v>45629</v>
      </c>
      <c r="AI75" s="242">
        <v>46070</v>
      </c>
      <c r="AJ75" s="242"/>
      <c r="AK75" s="187">
        <v>1</v>
      </c>
      <c r="AL75" s="187">
        <v>0.76</v>
      </c>
      <c r="AM75" s="188" t="str">
        <f>IF(DemandaEstrateg_[[#This Row],[Tipo de Requerimiento]]="Proyecto",(DemandaEstrateg_[[#This Row],[% Avance ejecutado]]-DemandaEstrateg_[[#This Row],[% Avance Planificado]])/DemandaEstrateg_[[#This Row],[% Avance Planificado]],"No aplica")</f>
        <v>No aplica</v>
      </c>
      <c r="AN75" s="189" t="str">
        <f>IF(DemandaEstrateg_[[#This Row],[Tipo de Requerimiento]]="Proyecto",(DemandaEstrateg_[[#This Row],[% Avance ejecutado]]-DemandaEstrateg_[[#This Row],[% Avance Planificado]])/DemandaEstrateg_[[#This Row],[% Avance Planificado]],"No aplica")</f>
        <v>No aplica</v>
      </c>
      <c r="AO75" s="190"/>
      <c r="AP75" s="296">
        <v>46062</v>
      </c>
      <c r="AQ75" s="80" t="s">
        <v>91</v>
      </c>
      <c r="AR75" s="190" t="s">
        <v>99</v>
      </c>
      <c r="AS75" s="251" t="e">
        <f>VLOOKUP(DemandaEstrateg_[[#This Row],[Últ. Estado CQ 30.04]],#REF!,3,FALSE)</f>
        <v>#REF!</v>
      </c>
      <c r="AT75" s="79" t="e">
        <f>VLOOKUP(DemandaEstrateg_[[#This Row],[Estado TI]],#REF!,3,FALSE)</f>
        <v>#REF!</v>
      </c>
      <c r="AU75" s="191" t="s">
        <v>179</v>
      </c>
      <c r="AV75" s="131" t="s">
        <v>46</v>
      </c>
    </row>
    <row r="76" spans="1:48" s="36" customFormat="1" ht="51" x14ac:dyDescent="0.25">
      <c r="A76" s="3">
        <v>72</v>
      </c>
      <c r="B76" s="178"/>
      <c r="C76" s="178"/>
      <c r="D76" s="77"/>
      <c r="E76" s="179" t="s">
        <v>94</v>
      </c>
      <c r="F76" s="254" t="s">
        <v>501</v>
      </c>
      <c r="G76" s="180" t="s">
        <v>180</v>
      </c>
      <c r="H76" s="179" t="s">
        <v>302</v>
      </c>
      <c r="I76" s="179"/>
      <c r="J76" s="179"/>
      <c r="K76" s="181"/>
      <c r="L76" s="182"/>
      <c r="M76" s="183"/>
      <c r="N76" s="178"/>
      <c r="O76" s="184"/>
      <c r="P76" s="184"/>
      <c r="Q76" s="178"/>
      <c r="R76" s="178"/>
      <c r="S76" s="178"/>
      <c r="T76" s="238"/>
      <c r="U76" s="178"/>
      <c r="V76" s="178"/>
      <c r="W76" s="239"/>
      <c r="X76" s="239"/>
      <c r="Y76" s="182"/>
      <c r="Z76" s="182"/>
      <c r="AA76" s="88"/>
      <c r="AB76" s="178"/>
      <c r="AC76" s="249"/>
      <c r="AD76" s="178"/>
      <c r="AE76" s="249"/>
      <c r="AF76" s="185"/>
      <c r="AG76" s="186"/>
      <c r="AH76" s="241"/>
      <c r="AI76" s="242"/>
      <c r="AJ76" s="242"/>
      <c r="AK76" s="187"/>
      <c r="AL76" s="187"/>
      <c r="AM76" s="188" t="str">
        <f>IF(DemandaEstrateg_[[#This Row],[Tipo de Requerimiento]]="Proyecto",(DemandaEstrateg_[[#This Row],[% Avance ejecutado]]-DemandaEstrateg_[[#This Row],[% Avance Planificado]])/DemandaEstrateg_[[#This Row],[% Avance Planificado]],"No aplica")</f>
        <v>No aplica</v>
      </c>
      <c r="AN76" s="189" t="str">
        <f>IF(DemandaEstrateg_[[#This Row],[Tipo de Requerimiento]]="Proyecto",(DemandaEstrateg_[[#This Row],[% Avance ejecutado]]-DemandaEstrateg_[[#This Row],[% Avance Planificado]])/DemandaEstrateg_[[#This Row],[% Avance Planificado]],"No aplica")</f>
        <v>No aplica</v>
      </c>
      <c r="AO76" s="190"/>
      <c r="AP76" s="190" t="s">
        <v>46</v>
      </c>
      <c r="AQ76" s="190" t="s">
        <v>46</v>
      </c>
      <c r="AR76" s="244" t="s">
        <v>101</v>
      </c>
      <c r="AS76" s="86" t="s">
        <v>115</v>
      </c>
      <c r="AT76" s="252" t="e">
        <f>VLOOKUP(DemandaEstrateg_[[#This Row],[Estado TI]],#REF!,3,FALSE)</f>
        <v>#REF!</v>
      </c>
      <c r="AU76" s="191" t="s">
        <v>181</v>
      </c>
      <c r="AV76" s="39">
        <f>'Portafolio P&amp;D'!B144</f>
        <v>0</v>
      </c>
    </row>
    <row r="77" spans="1:48" s="36" customFormat="1" ht="51.75" thickBot="1" x14ac:dyDescent="0.3">
      <c r="A77" s="3">
        <v>73</v>
      </c>
      <c r="B77" s="178"/>
      <c r="C77" s="178"/>
      <c r="D77" s="77"/>
      <c r="E77" s="179" t="s">
        <v>94</v>
      </c>
      <c r="F77" s="148" t="s">
        <v>502</v>
      </c>
      <c r="G77" s="180" t="s">
        <v>182</v>
      </c>
      <c r="H77" s="179" t="s">
        <v>302</v>
      </c>
      <c r="I77" s="179"/>
      <c r="J77" s="179"/>
      <c r="K77" s="181"/>
      <c r="L77" s="182"/>
      <c r="M77" s="183"/>
      <c r="N77" s="178"/>
      <c r="O77" s="184"/>
      <c r="P77" s="184"/>
      <c r="Q77" s="178"/>
      <c r="R77" s="178"/>
      <c r="S77" s="178"/>
      <c r="T77" s="238"/>
      <c r="U77" s="178"/>
      <c r="V77" s="178"/>
      <c r="W77" s="239"/>
      <c r="X77" s="239"/>
      <c r="Y77" s="182"/>
      <c r="Z77" s="182"/>
      <c r="AA77" s="88"/>
      <c r="AB77" s="178"/>
      <c r="AC77" s="178"/>
      <c r="AD77" s="178"/>
      <c r="AE77" s="178"/>
      <c r="AF77" s="185"/>
      <c r="AG77" s="186"/>
      <c r="AH77" s="241"/>
      <c r="AI77" s="242"/>
      <c r="AJ77" s="242"/>
      <c r="AK77" s="187"/>
      <c r="AL77" s="187"/>
      <c r="AM77" s="188" t="str">
        <f>IF(DemandaEstrateg_[[#This Row],[Tipo de Requerimiento]]="Proyecto",(DemandaEstrateg_[[#This Row],[% Avance ejecutado]]-DemandaEstrateg_[[#This Row],[% Avance Planificado]])/DemandaEstrateg_[[#This Row],[% Avance Planificado]],"No aplica")</f>
        <v>No aplica</v>
      </c>
      <c r="AN77" s="189" t="str">
        <f>IF(DemandaEstrateg_[[#This Row],[Tipo de Requerimiento]]="Proyecto",(DemandaEstrateg_[[#This Row],[% Avance ejecutado]]-DemandaEstrateg_[[#This Row],[% Avance Planificado]])/DemandaEstrateg_[[#This Row],[% Avance Planificado]],"No aplica")</f>
        <v>No aplica</v>
      </c>
      <c r="AO77" s="190"/>
      <c r="AP77" s="190" t="s">
        <v>46</v>
      </c>
      <c r="AQ77" s="190" t="s">
        <v>46</v>
      </c>
      <c r="AR77" s="244" t="s">
        <v>101</v>
      </c>
      <c r="AS77" s="86" t="s">
        <v>115</v>
      </c>
      <c r="AT77" s="252" t="e">
        <f>VLOOKUP(DemandaEstrateg_[[#This Row],[Estado TI]],#REF!,3,FALSE)</f>
        <v>#REF!</v>
      </c>
      <c r="AU77" s="191" t="s">
        <v>183</v>
      </c>
      <c r="AV77" s="39">
        <f>'Portafolio P&amp;D'!B145</f>
        <v>0</v>
      </c>
    </row>
    <row r="78" spans="1:48" s="36" customFormat="1" ht="45" customHeight="1" thickBot="1" x14ac:dyDescent="0.3">
      <c r="A78" s="3">
        <v>74</v>
      </c>
      <c r="B78" s="275"/>
      <c r="C78" s="275"/>
      <c r="D78" s="275"/>
      <c r="E78" s="276" t="s">
        <v>94</v>
      </c>
      <c r="F78" s="254" t="s">
        <v>503</v>
      </c>
      <c r="G78" s="277"/>
      <c r="H78" s="179" t="s">
        <v>302</v>
      </c>
      <c r="I78" s="276"/>
      <c r="J78" s="276"/>
      <c r="K78" s="278"/>
      <c r="L78" s="279"/>
      <c r="M78" s="300"/>
      <c r="N78" s="275"/>
      <c r="O78" s="77"/>
      <c r="P78" s="77"/>
      <c r="Q78" s="275"/>
      <c r="R78" s="275"/>
      <c r="S78" s="275"/>
      <c r="T78" s="281"/>
      <c r="U78" s="275"/>
      <c r="V78" s="275"/>
      <c r="W78" s="282"/>
      <c r="X78" s="282"/>
      <c r="Y78" s="182"/>
      <c r="Z78" s="182"/>
      <c r="AA78" s="280"/>
      <c r="AB78" s="178"/>
      <c r="AC78" s="275"/>
      <c r="AD78" s="275"/>
      <c r="AE78" s="275"/>
      <c r="AF78" s="283"/>
      <c r="AG78" s="284"/>
      <c r="AH78" s="285">
        <v>45895</v>
      </c>
      <c r="AI78" s="286">
        <v>46021</v>
      </c>
      <c r="AJ78" s="319">
        <v>46037</v>
      </c>
      <c r="AK78" s="287">
        <v>1</v>
      </c>
      <c r="AL78" s="287">
        <v>0.99</v>
      </c>
      <c r="AM78" s="288" t="str">
        <f>IF(DemandaEstrateg_[[#This Row],[Tipo de Requerimiento]]="Proyecto",(DemandaEstrateg_[[#This Row],[% Avance ejecutado]]-DemandaEstrateg_[[#This Row],[% Avance Planificado]])/DemandaEstrateg_[[#This Row],[% Avance Planificado]],"No aplica")</f>
        <v>No aplica</v>
      </c>
      <c r="AN78" s="289" t="str">
        <f>IF(DemandaEstrateg_[[#This Row],[Tipo de Requerimiento]]="Proyecto",(DemandaEstrateg_[[#This Row],[% Avance ejecutado]]-DemandaEstrateg_[[#This Row],[% Avance Planificado]])/DemandaEstrateg_[[#This Row],[% Avance Planificado]],"No aplica")</f>
        <v>No aplica</v>
      </c>
      <c r="AO78" s="117"/>
      <c r="AP78" s="169">
        <v>46021</v>
      </c>
      <c r="AQ78" s="80" t="s">
        <v>105</v>
      </c>
      <c r="AR78" s="309" t="s">
        <v>106</v>
      </c>
      <c r="AS78" s="245" t="e">
        <f>VLOOKUP(DemandaEstrateg_[[#This Row],[Últ. Estado CQ 30.04]],#REF!,3,FALSE)</f>
        <v>#REF!</v>
      </c>
      <c r="AT78" s="79" t="e">
        <f>VLOOKUP(DemandaEstrateg_[[#This Row],[Estado TI]],#REF!,3,FALSE)</f>
        <v>#REF!</v>
      </c>
      <c r="AU78" s="291" t="s">
        <v>184</v>
      </c>
      <c r="AV78" s="39">
        <f>'Portafolio P&amp;D'!B146</f>
        <v>0</v>
      </c>
    </row>
    <row r="79" spans="1:48" s="36" customFormat="1" ht="45" customHeight="1" thickBot="1" x14ac:dyDescent="0.3">
      <c r="A79" s="3">
        <v>75</v>
      </c>
      <c r="B79" s="275"/>
      <c r="C79" s="275"/>
      <c r="D79" s="275"/>
      <c r="E79" s="276" t="s">
        <v>94</v>
      </c>
      <c r="F79" s="148" t="s">
        <v>504</v>
      </c>
      <c r="G79" s="277"/>
      <c r="H79" s="179" t="s">
        <v>302</v>
      </c>
      <c r="I79" s="276"/>
      <c r="J79" s="276"/>
      <c r="K79" s="278"/>
      <c r="L79" s="279"/>
      <c r="M79" s="300"/>
      <c r="N79" s="275"/>
      <c r="O79" s="77"/>
      <c r="P79" s="77"/>
      <c r="Q79" s="275"/>
      <c r="R79" s="275"/>
      <c r="S79" s="275"/>
      <c r="T79" s="281"/>
      <c r="U79" s="275"/>
      <c r="V79" s="275"/>
      <c r="W79" s="282"/>
      <c r="X79" s="282"/>
      <c r="Y79" s="182"/>
      <c r="Z79" s="182"/>
      <c r="AA79" s="280"/>
      <c r="AB79" s="178"/>
      <c r="AC79" s="275"/>
      <c r="AD79" s="275"/>
      <c r="AE79" s="275"/>
      <c r="AF79" s="283"/>
      <c r="AG79" s="284"/>
      <c r="AH79" s="285">
        <v>45931</v>
      </c>
      <c r="AI79" s="286">
        <v>46021</v>
      </c>
      <c r="AJ79" s="319"/>
      <c r="AK79" s="287"/>
      <c r="AL79" s="287"/>
      <c r="AM79" s="288" t="str">
        <f>IF(DemandaEstrateg_[[#This Row],[Tipo de Requerimiento]]="Proyecto",(DemandaEstrateg_[[#This Row],[% Avance ejecutado]]-DemandaEstrateg_[[#This Row],[% Avance Planificado]])/DemandaEstrateg_[[#This Row],[% Avance Planificado]],"No aplica")</f>
        <v>No aplica</v>
      </c>
      <c r="AN79" s="289" t="str">
        <f>IF(DemandaEstrateg_[[#This Row],[Tipo de Requerimiento]]="Proyecto",(DemandaEstrateg_[[#This Row],[% Avance ejecutado]]-DemandaEstrateg_[[#This Row],[% Avance Planificado]])/DemandaEstrateg_[[#This Row],[% Avance Planificado]],"No aplica")</f>
        <v>No aplica</v>
      </c>
      <c r="AO79" s="117"/>
      <c r="AP79" s="169">
        <v>46021</v>
      </c>
      <c r="AQ79" s="80" t="s">
        <v>105</v>
      </c>
      <c r="AR79" s="117" t="s">
        <v>185</v>
      </c>
      <c r="AS79" s="290" t="e">
        <f>VLOOKUP(DemandaEstrateg_[[#This Row],[Últ. Estado CQ 30.04]],#REF!,3,FALSE)</f>
        <v>#REF!</v>
      </c>
      <c r="AT79" s="79" t="e">
        <f>VLOOKUP(DemandaEstrateg_[[#This Row],[Estado TI]],#REF!,3,FALSE)</f>
        <v>#REF!</v>
      </c>
      <c r="AU79" s="291" t="s">
        <v>184</v>
      </c>
      <c r="AV79" s="39">
        <f>'Portafolio P&amp;D'!B147</f>
        <v>0</v>
      </c>
    </row>
    <row r="80" spans="1:48" s="36" customFormat="1" ht="26.25" thickBot="1" x14ac:dyDescent="0.3">
      <c r="A80" s="3">
        <v>76</v>
      </c>
      <c r="B80" s="275"/>
      <c r="C80" s="275"/>
      <c r="D80" s="275"/>
      <c r="E80" s="179" t="s">
        <v>94</v>
      </c>
      <c r="F80" s="254" t="s">
        <v>505</v>
      </c>
      <c r="G80" s="277" t="s">
        <v>186</v>
      </c>
      <c r="H80" s="276" t="s">
        <v>302</v>
      </c>
      <c r="I80" s="276"/>
      <c r="J80" s="276"/>
      <c r="K80" s="278"/>
      <c r="L80" s="279"/>
      <c r="M80" s="280"/>
      <c r="N80" s="280"/>
      <c r="O80" s="77"/>
      <c r="P80" s="77"/>
      <c r="Q80" s="275"/>
      <c r="R80" s="275"/>
      <c r="S80" s="275"/>
      <c r="T80" s="281"/>
      <c r="U80" s="275"/>
      <c r="V80" s="275"/>
      <c r="W80" s="282"/>
      <c r="X80" s="282"/>
      <c r="Y80" s="279"/>
      <c r="Z80" s="182"/>
      <c r="AA80" s="88"/>
      <c r="AB80" s="275"/>
      <c r="AC80" s="304"/>
      <c r="AD80" s="178"/>
      <c r="AE80" s="304"/>
      <c r="AF80" s="283"/>
      <c r="AG80" s="284"/>
      <c r="AH80" s="285"/>
      <c r="AI80" s="286"/>
      <c r="AJ80" s="319"/>
      <c r="AK80" s="287"/>
      <c r="AL80" s="287"/>
      <c r="AM80" s="288" t="str">
        <f>IF(DemandaEstrateg_[[#This Row],[Tipo de Requerimiento]]="Proyecto",(DemandaEstrateg_[[#This Row],[% Avance ejecutado]]-DemandaEstrateg_[[#This Row],[% Avance Planificado]])/DemandaEstrateg_[[#This Row],[% Avance Planificado]],"No aplica")</f>
        <v>No aplica</v>
      </c>
      <c r="AN80" s="289" t="str">
        <f>IF(DemandaEstrateg_[[#This Row],[Tipo de Requerimiento]]="Proyecto",(DemandaEstrateg_[[#This Row],[% Avance ejecutado]]-DemandaEstrateg_[[#This Row],[% Avance Planificado]])/DemandaEstrateg_[[#This Row],[% Avance Planificado]],"No aplica")</f>
        <v>No aplica</v>
      </c>
      <c r="AO80" s="117"/>
      <c r="AP80" s="235">
        <v>46023</v>
      </c>
      <c r="AQ80" s="117" t="s">
        <v>91</v>
      </c>
      <c r="AR80" s="117" t="s">
        <v>99</v>
      </c>
      <c r="AS80" s="290" t="e">
        <f>VLOOKUP(DemandaEstrateg_[[#This Row],[Últ. Estado CQ 30.04]],#REF!,3,FALSE)</f>
        <v>#REF!</v>
      </c>
      <c r="AT80" s="303" t="e">
        <f>VLOOKUP(DemandaEstrateg_[[#This Row],[Estado TI]],#REF!,3,FALSE)</f>
        <v>#REF!</v>
      </c>
      <c r="AU80" s="291" t="s">
        <v>187</v>
      </c>
      <c r="AV80" s="39">
        <f>'Portafolio P&amp;D'!B149</f>
        <v>0</v>
      </c>
    </row>
    <row r="81" spans="1:48" s="36" customFormat="1" ht="38.25" x14ac:dyDescent="0.25">
      <c r="A81" s="3">
        <v>77</v>
      </c>
      <c r="B81" s="178"/>
      <c r="C81" s="275"/>
      <c r="D81" s="251"/>
      <c r="E81" s="179" t="s">
        <v>94</v>
      </c>
      <c r="F81" s="148" t="s">
        <v>506</v>
      </c>
      <c r="G81" s="180" t="s">
        <v>188</v>
      </c>
      <c r="H81" s="179" t="s">
        <v>302</v>
      </c>
      <c r="I81" s="276"/>
      <c r="J81" s="179"/>
      <c r="K81" s="181"/>
      <c r="L81" s="182"/>
      <c r="M81" s="183"/>
      <c r="N81" s="183"/>
      <c r="O81" s="184"/>
      <c r="P81" s="184"/>
      <c r="Q81" s="178"/>
      <c r="R81" s="178"/>
      <c r="S81" s="178"/>
      <c r="T81" s="238"/>
      <c r="U81" s="178"/>
      <c r="V81" s="178"/>
      <c r="W81" s="239"/>
      <c r="X81" s="239"/>
      <c r="Y81" s="279"/>
      <c r="Z81" s="182"/>
      <c r="AA81" s="88"/>
      <c r="AB81" s="275"/>
      <c r="AC81" s="249"/>
      <c r="AD81" s="178"/>
      <c r="AE81" s="249"/>
      <c r="AF81" s="185"/>
      <c r="AG81" s="186"/>
      <c r="AH81" s="241"/>
      <c r="AI81" s="242"/>
      <c r="AJ81" s="242"/>
      <c r="AK81" s="187"/>
      <c r="AL81" s="187"/>
      <c r="AM81" s="188" t="str">
        <f>IF(DemandaEstrateg_[[#This Row],[Tipo de Requerimiento]]="Proyecto",(DemandaEstrateg_[[#This Row],[% Avance ejecutado]]-DemandaEstrateg_[[#This Row],[% Avance Planificado]])/DemandaEstrateg_[[#This Row],[% Avance Planificado]],"No aplica")</f>
        <v>No aplica</v>
      </c>
      <c r="AN81" s="189" t="str">
        <f>IF(DemandaEstrateg_[[#This Row],[Tipo de Requerimiento]]="Proyecto",(DemandaEstrateg_[[#This Row],[% Avance ejecutado]]-DemandaEstrateg_[[#This Row],[% Avance Planificado]])/DemandaEstrateg_[[#This Row],[% Avance Planificado]],"No aplica")</f>
        <v>No aplica</v>
      </c>
      <c r="AO81" s="190"/>
      <c r="AP81" s="190" t="s">
        <v>46</v>
      </c>
      <c r="AQ81" s="190" t="s">
        <v>46</v>
      </c>
      <c r="AR81" s="190" t="s">
        <v>101</v>
      </c>
      <c r="AS81" s="251" t="s">
        <v>152</v>
      </c>
      <c r="AT81" s="252" t="e">
        <f>VLOOKUP(DemandaEstrateg_[[#This Row],[Estado TI]],#REF!,3,FALSE)</f>
        <v>#REF!</v>
      </c>
      <c r="AU81" s="191" t="s">
        <v>189</v>
      </c>
      <c r="AV81" s="39">
        <f>'Portafolio P&amp;D'!B151</f>
        <v>0</v>
      </c>
    </row>
    <row r="82" spans="1:48" s="36" customFormat="1" ht="71.25" customHeight="1" x14ac:dyDescent="0.25">
      <c r="A82" s="3">
        <v>78</v>
      </c>
      <c r="B82" s="178"/>
      <c r="C82" s="178"/>
      <c r="D82" s="178"/>
      <c r="E82" s="179" t="s">
        <v>94</v>
      </c>
      <c r="F82" s="254" t="s">
        <v>507</v>
      </c>
      <c r="G82" s="180"/>
      <c r="H82" s="179" t="s">
        <v>302</v>
      </c>
      <c r="I82" s="179"/>
      <c r="J82" s="179"/>
      <c r="K82" s="181"/>
      <c r="L82" s="182"/>
      <c r="M82" s="307"/>
      <c r="N82" s="183"/>
      <c r="O82" s="184"/>
      <c r="P82" s="184"/>
      <c r="Q82" s="178"/>
      <c r="R82" s="178"/>
      <c r="S82" s="178"/>
      <c r="T82" s="238"/>
      <c r="U82" s="178"/>
      <c r="V82" s="178"/>
      <c r="W82" s="239"/>
      <c r="X82" s="239"/>
      <c r="Y82" s="182"/>
      <c r="Z82" s="182"/>
      <c r="AA82" s="183"/>
      <c r="AB82" s="275"/>
      <c r="AC82" s="178"/>
      <c r="AD82" s="178"/>
      <c r="AE82" s="178"/>
      <c r="AF82" s="185"/>
      <c r="AG82" s="186"/>
      <c r="AH82" s="241"/>
      <c r="AI82" s="242"/>
      <c r="AJ82" s="242"/>
      <c r="AK82" s="187"/>
      <c r="AL82" s="187"/>
      <c r="AM82" s="188" t="str">
        <f>IF(DemandaEstrateg_[[#This Row],[Tipo de Requerimiento]]="Proyecto",(DemandaEstrateg_[[#This Row],[% Avance ejecutado]]-DemandaEstrateg_[[#This Row],[% Avance Planificado]])/DemandaEstrateg_[[#This Row],[% Avance Planificado]],"No aplica")</f>
        <v>No aplica</v>
      </c>
      <c r="AN82" s="189" t="str">
        <f>IF(DemandaEstrateg_[[#This Row],[Tipo de Requerimiento]]="Proyecto",(DemandaEstrateg_[[#This Row],[% Avance ejecutado]]-DemandaEstrateg_[[#This Row],[% Avance Planificado]])/DemandaEstrateg_[[#This Row],[% Avance Planificado]],"No aplica")</f>
        <v>No aplica</v>
      </c>
      <c r="AO82" s="190"/>
      <c r="AP82" s="190"/>
      <c r="AQ82" s="190" t="s">
        <v>190</v>
      </c>
      <c r="AR82" s="190" t="s">
        <v>101</v>
      </c>
      <c r="AS82" s="251" t="s">
        <v>152</v>
      </c>
      <c r="AT82" s="252" t="e">
        <f>VLOOKUP(DemandaEstrateg_[[#This Row],[Estado TI]],#REF!,3,FALSE)</f>
        <v>#REF!</v>
      </c>
      <c r="AU82" s="306" t="s">
        <v>191</v>
      </c>
      <c r="AV82" s="39">
        <f>'Portafolio P&amp;D'!B152</f>
        <v>0</v>
      </c>
    </row>
    <row r="83" spans="1:48" s="36" customFormat="1" ht="45" customHeight="1" thickBot="1" x14ac:dyDescent="0.3">
      <c r="A83" s="3">
        <v>79</v>
      </c>
      <c r="B83" s="178"/>
      <c r="C83" s="178"/>
      <c r="D83" s="178"/>
      <c r="E83" s="179" t="s">
        <v>94</v>
      </c>
      <c r="F83" s="148" t="s">
        <v>508</v>
      </c>
      <c r="G83" s="180"/>
      <c r="H83" s="179" t="s">
        <v>302</v>
      </c>
      <c r="I83" s="179"/>
      <c r="J83" s="179"/>
      <c r="K83" s="181"/>
      <c r="L83" s="182"/>
      <c r="M83" s="183"/>
      <c r="N83" s="178"/>
      <c r="O83" s="184"/>
      <c r="P83" s="184"/>
      <c r="Q83" s="178"/>
      <c r="R83" s="178"/>
      <c r="S83" s="178"/>
      <c r="T83" s="238"/>
      <c r="U83" s="178"/>
      <c r="V83" s="178"/>
      <c r="W83" s="239"/>
      <c r="X83" s="239"/>
      <c r="Y83" s="182"/>
      <c r="Z83" s="182"/>
      <c r="AA83" s="183"/>
      <c r="AB83" s="275"/>
      <c r="AC83" s="178"/>
      <c r="AD83" s="178"/>
      <c r="AE83" s="178"/>
      <c r="AF83" s="185"/>
      <c r="AG83" s="186"/>
      <c r="AH83" s="241"/>
      <c r="AI83" s="242"/>
      <c r="AJ83" s="242"/>
      <c r="AK83" s="187"/>
      <c r="AL83" s="187"/>
      <c r="AM83" s="188" t="str">
        <f>IF(DemandaEstrateg_[[#This Row],[Tipo de Requerimiento]]="Proyecto",(DemandaEstrateg_[[#This Row],[% Avance ejecutado]]-DemandaEstrateg_[[#This Row],[% Avance Planificado]])/DemandaEstrateg_[[#This Row],[% Avance Planificado]],"No aplica")</f>
        <v>No aplica</v>
      </c>
      <c r="AN83" s="189" t="str">
        <f>IF(DemandaEstrateg_[[#This Row],[Tipo de Requerimiento]]="Proyecto",(DemandaEstrateg_[[#This Row],[% Avance ejecutado]]-DemandaEstrateg_[[#This Row],[% Avance Planificado]])/DemandaEstrateg_[[#This Row],[% Avance Planificado]],"No aplica")</f>
        <v>No aplica</v>
      </c>
      <c r="AO83" s="190"/>
      <c r="AP83" s="190"/>
      <c r="AQ83" s="190" t="s">
        <v>190</v>
      </c>
      <c r="AR83" s="190" t="s">
        <v>101</v>
      </c>
      <c r="AS83" s="251" t="s">
        <v>152</v>
      </c>
      <c r="AT83" s="252" t="e">
        <f>VLOOKUP(DemandaEstrateg_[[#This Row],[Estado TI]],#REF!,3,FALSE)</f>
        <v>#REF!</v>
      </c>
      <c r="AU83" s="306" t="s">
        <v>191</v>
      </c>
      <c r="AV83" s="39">
        <f>'Portafolio P&amp;D'!B153</f>
        <v>0</v>
      </c>
    </row>
    <row r="84" spans="1:48" s="36" customFormat="1" ht="51.75" thickBot="1" x14ac:dyDescent="0.3">
      <c r="A84" s="3">
        <v>80</v>
      </c>
      <c r="B84" s="178"/>
      <c r="C84" s="86"/>
      <c r="D84" s="86"/>
      <c r="E84" s="179" t="s">
        <v>94</v>
      </c>
      <c r="F84" s="254" t="s">
        <v>509</v>
      </c>
      <c r="G84" s="180"/>
      <c r="H84" s="179" t="s">
        <v>302</v>
      </c>
      <c r="I84" s="179"/>
      <c r="J84" s="322"/>
      <c r="K84" s="323"/>
      <c r="L84" s="182"/>
      <c r="M84" s="323"/>
      <c r="N84" s="178"/>
      <c r="O84" s="324"/>
      <c r="P84" s="324"/>
      <c r="Q84" s="178"/>
      <c r="R84" s="324"/>
      <c r="S84" s="324"/>
      <c r="T84" s="324"/>
      <c r="U84" s="324"/>
      <c r="V84" s="324"/>
      <c r="W84" s="325"/>
      <c r="X84" s="326"/>
      <c r="Y84" s="327"/>
      <c r="Z84" s="328"/>
      <c r="AA84" s="329"/>
      <c r="AB84" s="178"/>
      <c r="AC84" s="324"/>
      <c r="AD84" s="324"/>
      <c r="AE84" s="324"/>
      <c r="AF84" s="81">
        <v>45162</v>
      </c>
      <c r="AG84" s="157">
        <v>45838</v>
      </c>
      <c r="AH84" s="337">
        <v>45162</v>
      </c>
      <c r="AI84" s="330">
        <v>45838</v>
      </c>
      <c r="AJ84" s="330"/>
      <c r="AK84" s="331" t="s">
        <v>95</v>
      </c>
      <c r="AL84" s="331" t="s">
        <v>95</v>
      </c>
      <c r="AM84" s="332" t="str">
        <f>IF(DemandaEstrateg_[[#This Row],[Tipo de Requerimiento]]="Proyecto",(DemandaEstrateg_[[#This Row],[% Avance ejecutado]]-DemandaEstrateg_[[#This Row],[% Avance Planificado]])/DemandaEstrateg_[[#This Row],[% Avance Planificado]],"No aplica")</f>
        <v>No aplica</v>
      </c>
      <c r="AN84" s="332" t="str">
        <f>IF(DemandaEstrateg_[[#This Row],[Tipo de Requerimiento]]="Proyecto",(DemandaEstrateg_[[#This Row],[% Avance ejecutado]]-DemandaEstrateg_[[#This Row],[% Avance Planificado]])/DemandaEstrateg_[[#This Row],[% Avance Planificado]],"No aplica")</f>
        <v>No aplica</v>
      </c>
      <c r="AO84" s="333"/>
      <c r="AP84" s="334">
        <v>46082</v>
      </c>
      <c r="AQ84" s="335" t="s">
        <v>91</v>
      </c>
      <c r="AR84" s="339" t="s">
        <v>99</v>
      </c>
      <c r="AS84" s="324" t="e">
        <f>VLOOKUP(DemandaEstrateg_[[#This Row],[Últ. Estado CQ 30.04]],#REF!,3,FALSE)</f>
        <v>#REF!</v>
      </c>
      <c r="AT84" s="336" t="e">
        <f>VLOOKUP(DemandaEstrateg_[[#This Row],[Estado TI]],#REF!,3,FALSE)</f>
        <v>#REF!</v>
      </c>
      <c r="AU84" s="191" t="s">
        <v>192</v>
      </c>
      <c r="AV84" s="338" t="s">
        <v>46</v>
      </c>
    </row>
    <row r="85" spans="1:48" s="36" customFormat="1" ht="12.75" x14ac:dyDescent="0.25">
      <c r="A85" s="3">
        <v>81</v>
      </c>
      <c r="B85" s="275"/>
      <c r="C85" s="275"/>
      <c r="D85" s="275"/>
      <c r="E85" s="3" t="s">
        <v>90</v>
      </c>
      <c r="F85" s="148" t="s">
        <v>510</v>
      </c>
      <c r="G85" s="277"/>
      <c r="H85" s="276" t="s">
        <v>302</v>
      </c>
      <c r="I85" s="276"/>
      <c r="J85" s="276"/>
      <c r="K85" s="278"/>
      <c r="L85" s="340"/>
      <c r="M85" s="341"/>
      <c r="N85" s="275"/>
      <c r="O85" s="275"/>
      <c r="P85" s="275"/>
      <c r="Q85" s="341"/>
      <c r="R85" s="275"/>
      <c r="S85" s="275"/>
      <c r="T85" s="275"/>
      <c r="U85" s="275"/>
      <c r="V85" s="275"/>
      <c r="W85" s="346"/>
      <c r="X85" s="346"/>
      <c r="Y85" s="279"/>
      <c r="Z85" s="3"/>
      <c r="AA85" s="280"/>
      <c r="AB85" s="275"/>
      <c r="AC85" s="275"/>
      <c r="AD85" s="275"/>
      <c r="AE85" s="275"/>
      <c r="AF85" s="283"/>
      <c r="AG85" s="284"/>
      <c r="AH85" s="78">
        <v>46042</v>
      </c>
      <c r="AI85" s="78">
        <v>46203</v>
      </c>
      <c r="AJ85" s="342"/>
      <c r="AK85" s="343"/>
      <c r="AL85" s="343"/>
      <c r="AM85" s="288" t="e">
        <f>IF(DemandaEstrateg_[[#This Row],[Tipo de Requerimiento]]="Proyecto",(DemandaEstrateg_[[#This Row],[% Avance ejecutado]]-DemandaEstrateg_[[#This Row],[% Avance Planificado]])/DemandaEstrateg_[[#This Row],[% Avance Planificado]],"No aplica")</f>
        <v>#DIV/0!</v>
      </c>
      <c r="AN85" s="289" t="e">
        <f>IF(DemandaEstrateg_[[#This Row],[Tipo de Requerimiento]]="Proyecto",(DemandaEstrateg_[[#This Row],[% Avance ejecutado]]-DemandaEstrateg_[[#This Row],[% Avance Planificado]])/DemandaEstrateg_[[#This Row],[% Avance Planificado]],"No aplica")</f>
        <v>#DIV/0!</v>
      </c>
      <c r="AO85" s="117"/>
      <c r="AP85" s="117"/>
      <c r="AQ85" s="117"/>
      <c r="AR85" s="117"/>
      <c r="AS85" s="290" t="e">
        <f>VLOOKUP(DemandaEstrateg_[[#This Row],[Últ. Estado CQ 30.04]],#REF!,3,FALSE)</f>
        <v>#REF!</v>
      </c>
      <c r="AT85" s="246" t="s">
        <v>178</v>
      </c>
      <c r="AU85" s="306" t="s">
        <v>193</v>
      </c>
      <c r="AV85" s="137" t="s">
        <v>194</v>
      </c>
    </row>
    <row r="86" spans="1:48" s="36" customFormat="1" ht="12.75" x14ac:dyDescent="0.25">
      <c r="A86" s="3">
        <v>82</v>
      </c>
      <c r="B86" s="275"/>
      <c r="C86" s="275"/>
      <c r="D86" s="275"/>
      <c r="E86" s="3" t="s">
        <v>90</v>
      </c>
      <c r="F86" s="254" t="s">
        <v>511</v>
      </c>
      <c r="G86" s="277"/>
      <c r="H86" s="276" t="s">
        <v>302</v>
      </c>
      <c r="I86" s="276"/>
      <c r="J86" s="276"/>
      <c r="K86" s="278"/>
      <c r="L86" s="340"/>
      <c r="M86" s="341"/>
      <c r="N86" s="275"/>
      <c r="O86" s="275"/>
      <c r="P86" s="275"/>
      <c r="Q86" s="341"/>
      <c r="R86" s="275"/>
      <c r="S86" s="275"/>
      <c r="T86" s="275"/>
      <c r="U86" s="275"/>
      <c r="V86" s="275"/>
      <c r="W86" s="346"/>
      <c r="X86" s="346"/>
      <c r="Y86" s="279"/>
      <c r="Z86" s="3"/>
      <c r="AA86" s="280"/>
      <c r="AB86" s="275"/>
      <c r="AC86" s="275"/>
      <c r="AD86" s="275"/>
      <c r="AE86" s="275"/>
      <c r="AF86" s="283"/>
      <c r="AG86" s="284"/>
      <c r="AH86" s="78">
        <v>46448</v>
      </c>
      <c r="AI86" s="78">
        <v>46553</v>
      </c>
      <c r="AJ86" s="342"/>
      <c r="AK86" s="343"/>
      <c r="AL86" s="343"/>
      <c r="AM86" s="288" t="e">
        <f>IF(DemandaEstrateg_[[#This Row],[Tipo de Requerimiento]]="Proyecto",(DemandaEstrateg_[[#This Row],[% Avance ejecutado]]-DemandaEstrateg_[[#This Row],[% Avance Planificado]])/DemandaEstrateg_[[#This Row],[% Avance Planificado]],"No aplica")</f>
        <v>#DIV/0!</v>
      </c>
      <c r="AN86" s="289" t="e">
        <f>IF(DemandaEstrateg_[[#This Row],[Tipo de Requerimiento]]="Proyecto",(DemandaEstrateg_[[#This Row],[% Avance ejecutado]]-DemandaEstrateg_[[#This Row],[% Avance Planificado]])/DemandaEstrateg_[[#This Row],[% Avance Planificado]],"No aplica")</f>
        <v>#DIV/0!</v>
      </c>
      <c r="AO86" s="117"/>
      <c r="AP86" s="117"/>
      <c r="AQ86" s="117"/>
      <c r="AR86" s="117"/>
      <c r="AS86" s="290" t="e">
        <f>VLOOKUP(DemandaEstrateg_[[#This Row],[Últ. Estado CQ 30.04]],#REF!,3,FALSE)</f>
        <v>#REF!</v>
      </c>
      <c r="AT86" s="246" t="s">
        <v>51</v>
      </c>
      <c r="AU86" s="306" t="s">
        <v>193</v>
      </c>
      <c r="AV86" s="137" t="s">
        <v>194</v>
      </c>
    </row>
    <row r="87" spans="1:48" s="36" customFormat="1" ht="12.75" x14ac:dyDescent="0.25">
      <c r="A87" s="3">
        <v>83</v>
      </c>
      <c r="B87" s="275"/>
      <c r="C87" s="275"/>
      <c r="D87" s="275"/>
      <c r="E87" s="3" t="s">
        <v>90</v>
      </c>
      <c r="F87" s="148" t="s">
        <v>512</v>
      </c>
      <c r="G87" s="277"/>
      <c r="H87" s="276" t="s">
        <v>302</v>
      </c>
      <c r="I87" s="276"/>
      <c r="J87" s="276"/>
      <c r="K87" s="278"/>
      <c r="L87" s="340"/>
      <c r="M87" s="341"/>
      <c r="N87" s="275"/>
      <c r="O87" s="275"/>
      <c r="P87" s="275"/>
      <c r="Q87" s="341"/>
      <c r="R87" s="275"/>
      <c r="S87" s="275"/>
      <c r="T87" s="275"/>
      <c r="U87" s="275"/>
      <c r="V87" s="275"/>
      <c r="W87" s="346"/>
      <c r="X87" s="346"/>
      <c r="Y87" s="279"/>
      <c r="Z87" s="3"/>
      <c r="AA87" s="280"/>
      <c r="AB87" s="275"/>
      <c r="AC87" s="275"/>
      <c r="AD87" s="275"/>
      <c r="AE87" s="275"/>
      <c r="AF87" s="283"/>
      <c r="AG87" s="284"/>
      <c r="AH87" s="78">
        <v>46149</v>
      </c>
      <c r="AI87" s="78">
        <v>46317</v>
      </c>
      <c r="AJ87" s="342"/>
      <c r="AK87" s="343"/>
      <c r="AL87" s="343"/>
      <c r="AM87" s="288" t="e">
        <f>IF(DemandaEstrateg_[[#This Row],[Tipo de Requerimiento]]="Proyecto",(DemandaEstrateg_[[#This Row],[% Avance ejecutado]]-DemandaEstrateg_[[#This Row],[% Avance Planificado]])/DemandaEstrateg_[[#This Row],[% Avance Planificado]],"No aplica")</f>
        <v>#DIV/0!</v>
      </c>
      <c r="AN87" s="289" t="e">
        <f>IF(DemandaEstrateg_[[#This Row],[Tipo de Requerimiento]]="Proyecto",(DemandaEstrateg_[[#This Row],[% Avance ejecutado]]-DemandaEstrateg_[[#This Row],[% Avance Planificado]])/DemandaEstrateg_[[#This Row],[% Avance Planificado]],"No aplica")</f>
        <v>#DIV/0!</v>
      </c>
      <c r="AO87" s="117"/>
      <c r="AP87" s="117"/>
      <c r="AQ87" s="117"/>
      <c r="AR87" s="117"/>
      <c r="AS87" s="290" t="e">
        <f>VLOOKUP(DemandaEstrateg_[[#This Row],[Últ. Estado CQ 30.04]],#REF!,3,FALSE)</f>
        <v>#REF!</v>
      </c>
      <c r="AT87" s="246" t="s">
        <v>51</v>
      </c>
      <c r="AU87" s="306" t="s">
        <v>193</v>
      </c>
      <c r="AV87" s="137" t="s">
        <v>194</v>
      </c>
    </row>
    <row r="88" spans="1:48" s="36" customFormat="1" ht="12.75" x14ac:dyDescent="0.25">
      <c r="A88" s="3">
        <v>84</v>
      </c>
      <c r="B88" s="275"/>
      <c r="C88" s="275"/>
      <c r="D88" s="275"/>
      <c r="E88" s="3" t="s">
        <v>90</v>
      </c>
      <c r="F88" s="254" t="s">
        <v>513</v>
      </c>
      <c r="G88" s="277"/>
      <c r="H88" s="276" t="s">
        <v>302</v>
      </c>
      <c r="I88" s="276"/>
      <c r="J88" s="276"/>
      <c r="K88" s="278"/>
      <c r="L88" s="340"/>
      <c r="M88" s="341"/>
      <c r="N88" s="275"/>
      <c r="O88" s="275"/>
      <c r="P88" s="275"/>
      <c r="Q88" s="341"/>
      <c r="R88" s="275"/>
      <c r="S88" s="275"/>
      <c r="T88" s="275"/>
      <c r="U88" s="275"/>
      <c r="V88" s="275"/>
      <c r="W88" s="346"/>
      <c r="X88" s="346"/>
      <c r="Y88" s="279"/>
      <c r="Z88" s="3"/>
      <c r="AA88" s="280"/>
      <c r="AB88" s="275"/>
      <c r="AC88" s="275"/>
      <c r="AD88" s="275"/>
      <c r="AE88" s="275"/>
      <c r="AF88" s="283"/>
      <c r="AG88" s="284"/>
      <c r="AH88" s="78">
        <v>46323</v>
      </c>
      <c r="AI88" s="78">
        <v>46540</v>
      </c>
      <c r="AJ88" s="342"/>
      <c r="AK88" s="343"/>
      <c r="AL88" s="343"/>
      <c r="AM88" s="288" t="e">
        <f>IF(DemandaEstrateg_[[#This Row],[Tipo de Requerimiento]]="Proyecto",(DemandaEstrateg_[[#This Row],[% Avance ejecutado]]-DemandaEstrateg_[[#This Row],[% Avance Planificado]])/DemandaEstrateg_[[#This Row],[% Avance Planificado]],"No aplica")</f>
        <v>#DIV/0!</v>
      </c>
      <c r="AN88" s="289" t="e">
        <f>IF(DemandaEstrateg_[[#This Row],[Tipo de Requerimiento]]="Proyecto",(DemandaEstrateg_[[#This Row],[% Avance ejecutado]]-DemandaEstrateg_[[#This Row],[% Avance Planificado]])/DemandaEstrateg_[[#This Row],[% Avance Planificado]],"No aplica")</f>
        <v>#DIV/0!</v>
      </c>
      <c r="AO88" s="117"/>
      <c r="AP88" s="117"/>
      <c r="AQ88" s="117"/>
      <c r="AR88" s="117"/>
      <c r="AS88" s="290" t="e">
        <f>VLOOKUP(DemandaEstrateg_[[#This Row],[Últ. Estado CQ 30.04]],#REF!,3,FALSE)</f>
        <v>#REF!</v>
      </c>
      <c r="AT88" s="246" t="s">
        <v>51</v>
      </c>
      <c r="AU88" s="306" t="s">
        <v>193</v>
      </c>
      <c r="AV88" s="137" t="s">
        <v>194</v>
      </c>
    </row>
    <row r="89" spans="1:48" s="36" customFormat="1" ht="12.75" x14ac:dyDescent="0.25">
      <c r="A89" s="3">
        <v>85</v>
      </c>
      <c r="B89" s="275"/>
      <c r="C89" s="275"/>
      <c r="D89" s="275"/>
      <c r="E89" s="3" t="s">
        <v>90</v>
      </c>
      <c r="F89" s="148" t="s">
        <v>514</v>
      </c>
      <c r="G89" s="277"/>
      <c r="H89" s="276" t="s">
        <v>302</v>
      </c>
      <c r="I89" s="276"/>
      <c r="J89" s="276"/>
      <c r="K89" s="278"/>
      <c r="L89" s="340"/>
      <c r="M89" s="341"/>
      <c r="N89" s="275"/>
      <c r="O89" s="275"/>
      <c r="P89" s="275"/>
      <c r="Q89" s="341"/>
      <c r="R89" s="275"/>
      <c r="S89" s="275"/>
      <c r="T89" s="275"/>
      <c r="U89" s="275"/>
      <c r="V89" s="275"/>
      <c r="W89" s="346"/>
      <c r="X89" s="346"/>
      <c r="Y89" s="279"/>
      <c r="Z89" s="3"/>
      <c r="AA89" s="280"/>
      <c r="AB89" s="275"/>
      <c r="AC89" s="275"/>
      <c r="AD89" s="275"/>
      <c r="AE89" s="275"/>
      <c r="AF89" s="283"/>
      <c r="AG89" s="284"/>
      <c r="AH89" s="78">
        <v>46220</v>
      </c>
      <c r="AI89" s="78">
        <v>47568</v>
      </c>
      <c r="AJ89" s="342"/>
      <c r="AK89" s="343"/>
      <c r="AL89" s="343"/>
      <c r="AM89" s="288" t="e">
        <f>IF(DemandaEstrateg_[[#This Row],[Tipo de Requerimiento]]="Proyecto",(DemandaEstrateg_[[#This Row],[% Avance ejecutado]]-DemandaEstrateg_[[#This Row],[% Avance Planificado]])/DemandaEstrateg_[[#This Row],[% Avance Planificado]],"No aplica")</f>
        <v>#DIV/0!</v>
      </c>
      <c r="AN89" s="289" t="e">
        <f>IF(DemandaEstrateg_[[#This Row],[Tipo de Requerimiento]]="Proyecto",(DemandaEstrateg_[[#This Row],[% Avance ejecutado]]-DemandaEstrateg_[[#This Row],[% Avance Planificado]])/DemandaEstrateg_[[#This Row],[% Avance Planificado]],"No aplica")</f>
        <v>#DIV/0!</v>
      </c>
      <c r="AO89" s="117"/>
      <c r="AP89" s="117"/>
      <c r="AQ89" s="117"/>
      <c r="AR89" s="117"/>
      <c r="AS89" s="290" t="e">
        <f>VLOOKUP(DemandaEstrateg_[[#This Row],[Últ. Estado CQ 30.04]],#REF!,3,FALSE)</f>
        <v>#REF!</v>
      </c>
      <c r="AT89" s="246" t="s">
        <v>51</v>
      </c>
      <c r="AU89" s="306" t="s">
        <v>193</v>
      </c>
      <c r="AV89" s="137" t="s">
        <v>194</v>
      </c>
    </row>
    <row r="90" spans="1:48" s="36" customFormat="1" ht="12.75" x14ac:dyDescent="0.25">
      <c r="A90" s="3">
        <v>86</v>
      </c>
      <c r="B90" s="275"/>
      <c r="C90" s="275"/>
      <c r="D90" s="275"/>
      <c r="E90" s="3" t="s">
        <v>90</v>
      </c>
      <c r="F90" s="254" t="s">
        <v>515</v>
      </c>
      <c r="G90" s="277"/>
      <c r="H90" s="276" t="s">
        <v>302</v>
      </c>
      <c r="I90" s="276"/>
      <c r="J90" s="276"/>
      <c r="K90" s="278"/>
      <c r="L90" s="340"/>
      <c r="M90" s="341"/>
      <c r="N90" s="275"/>
      <c r="O90" s="275"/>
      <c r="P90" s="275"/>
      <c r="Q90" s="341"/>
      <c r="R90" s="275"/>
      <c r="S90" s="275"/>
      <c r="T90" s="275"/>
      <c r="U90" s="275"/>
      <c r="V90" s="275"/>
      <c r="W90" s="346"/>
      <c r="X90" s="346"/>
      <c r="Y90" s="279"/>
      <c r="Z90" s="3"/>
      <c r="AA90" s="280"/>
      <c r="AB90" s="275"/>
      <c r="AC90" s="275"/>
      <c r="AD90" s="275"/>
      <c r="AE90" s="275"/>
      <c r="AF90" s="283"/>
      <c r="AG90" s="284"/>
      <c r="AH90" s="78">
        <v>46541</v>
      </c>
      <c r="AI90" s="78">
        <v>47568</v>
      </c>
      <c r="AJ90" s="342"/>
      <c r="AK90" s="343"/>
      <c r="AL90" s="343"/>
      <c r="AM90" s="288" t="e">
        <f>IF(DemandaEstrateg_[[#This Row],[Tipo de Requerimiento]]="Proyecto",(DemandaEstrateg_[[#This Row],[% Avance ejecutado]]-DemandaEstrateg_[[#This Row],[% Avance Planificado]])/DemandaEstrateg_[[#This Row],[% Avance Planificado]],"No aplica")</f>
        <v>#DIV/0!</v>
      </c>
      <c r="AN90" s="289" t="e">
        <f>IF(DemandaEstrateg_[[#This Row],[Tipo de Requerimiento]]="Proyecto",(DemandaEstrateg_[[#This Row],[% Avance ejecutado]]-DemandaEstrateg_[[#This Row],[% Avance Planificado]])/DemandaEstrateg_[[#This Row],[% Avance Planificado]],"No aplica")</f>
        <v>#DIV/0!</v>
      </c>
      <c r="AO90" s="117"/>
      <c r="AP90" s="117"/>
      <c r="AQ90" s="117"/>
      <c r="AR90" s="117"/>
      <c r="AS90" s="290" t="e">
        <f>VLOOKUP(DemandaEstrateg_[[#This Row],[Últ. Estado CQ 30.04]],#REF!,3,FALSE)</f>
        <v>#REF!</v>
      </c>
      <c r="AT90" s="246" t="s">
        <v>51</v>
      </c>
      <c r="AU90" s="306" t="s">
        <v>193</v>
      </c>
      <c r="AV90" s="137" t="s">
        <v>194</v>
      </c>
    </row>
    <row r="91" spans="1:48" s="36" customFormat="1" ht="12.75" x14ac:dyDescent="0.25">
      <c r="A91" s="3">
        <v>87</v>
      </c>
      <c r="B91" s="275"/>
      <c r="C91" s="275"/>
      <c r="D91" s="275"/>
      <c r="E91" s="3" t="s">
        <v>90</v>
      </c>
      <c r="F91" s="148" t="s">
        <v>516</v>
      </c>
      <c r="G91" s="277"/>
      <c r="H91" s="276" t="s">
        <v>302</v>
      </c>
      <c r="I91" s="276"/>
      <c r="J91" s="276"/>
      <c r="K91" s="278"/>
      <c r="L91" s="340"/>
      <c r="M91" s="341"/>
      <c r="N91" s="275"/>
      <c r="O91" s="275"/>
      <c r="P91" s="275"/>
      <c r="Q91" s="341"/>
      <c r="R91" s="275"/>
      <c r="S91" s="275"/>
      <c r="T91" s="275"/>
      <c r="U91" s="275"/>
      <c r="V91" s="275"/>
      <c r="W91" s="346"/>
      <c r="X91" s="346"/>
      <c r="Y91" s="279"/>
      <c r="Z91" s="3"/>
      <c r="AA91" s="280"/>
      <c r="AB91" s="275"/>
      <c r="AC91" s="275"/>
      <c r="AD91" s="275"/>
      <c r="AE91" s="275"/>
      <c r="AF91" s="283"/>
      <c r="AG91" s="284"/>
      <c r="AH91" s="78">
        <v>46496</v>
      </c>
      <c r="AI91" s="78">
        <v>47568</v>
      </c>
      <c r="AJ91" s="342"/>
      <c r="AK91" s="343"/>
      <c r="AL91" s="343"/>
      <c r="AM91" s="288" t="e">
        <f>IF(DemandaEstrateg_[[#This Row],[Tipo de Requerimiento]]="Proyecto",(DemandaEstrateg_[[#This Row],[% Avance ejecutado]]-DemandaEstrateg_[[#This Row],[% Avance Planificado]])/DemandaEstrateg_[[#This Row],[% Avance Planificado]],"No aplica")</f>
        <v>#DIV/0!</v>
      </c>
      <c r="AN91" s="289" t="e">
        <f>IF(DemandaEstrateg_[[#This Row],[Tipo de Requerimiento]]="Proyecto",(DemandaEstrateg_[[#This Row],[% Avance ejecutado]]-DemandaEstrateg_[[#This Row],[% Avance Planificado]])/DemandaEstrateg_[[#This Row],[% Avance Planificado]],"No aplica")</f>
        <v>#DIV/0!</v>
      </c>
      <c r="AO91" s="117"/>
      <c r="AP91" s="117"/>
      <c r="AQ91" s="117"/>
      <c r="AR91" s="117"/>
      <c r="AS91" s="290" t="e">
        <f>VLOOKUP(DemandaEstrateg_[[#This Row],[Últ. Estado CQ 30.04]],#REF!,3,FALSE)</f>
        <v>#REF!</v>
      </c>
      <c r="AT91" s="246" t="s">
        <v>51</v>
      </c>
      <c r="AU91" s="306" t="s">
        <v>193</v>
      </c>
      <c r="AV91" s="137" t="s">
        <v>194</v>
      </c>
    </row>
    <row r="92" spans="1:48" s="36" customFormat="1" ht="12.75" x14ac:dyDescent="0.25">
      <c r="A92" s="3">
        <v>88</v>
      </c>
      <c r="B92" s="275"/>
      <c r="C92" s="275"/>
      <c r="D92" s="275"/>
      <c r="E92" s="3" t="s">
        <v>90</v>
      </c>
      <c r="F92" s="254" t="s">
        <v>517</v>
      </c>
      <c r="G92" s="277"/>
      <c r="H92" s="276" t="s">
        <v>302</v>
      </c>
      <c r="I92" s="276"/>
      <c r="J92" s="276"/>
      <c r="K92" s="278"/>
      <c r="L92" s="340"/>
      <c r="M92" s="341"/>
      <c r="N92" s="275"/>
      <c r="O92" s="275"/>
      <c r="P92" s="275"/>
      <c r="Q92" s="341"/>
      <c r="R92" s="275"/>
      <c r="S92" s="275"/>
      <c r="T92" s="275"/>
      <c r="U92" s="275"/>
      <c r="V92" s="275"/>
      <c r="W92" s="346"/>
      <c r="X92" s="346"/>
      <c r="Y92" s="279"/>
      <c r="Z92" s="3"/>
      <c r="AA92" s="280"/>
      <c r="AB92" s="275"/>
      <c r="AC92" s="275"/>
      <c r="AD92" s="275"/>
      <c r="AE92" s="275"/>
      <c r="AF92" s="283"/>
      <c r="AG92" s="284"/>
      <c r="AH92" s="78">
        <v>46496</v>
      </c>
      <c r="AI92" s="78">
        <v>46685</v>
      </c>
      <c r="AJ92" s="342"/>
      <c r="AK92" s="343"/>
      <c r="AL92" s="343"/>
      <c r="AM92" s="288" t="e">
        <f>IF(DemandaEstrateg_[[#This Row],[Tipo de Requerimiento]]="Proyecto",(DemandaEstrateg_[[#This Row],[% Avance ejecutado]]-DemandaEstrateg_[[#This Row],[% Avance Planificado]])/DemandaEstrateg_[[#This Row],[% Avance Planificado]],"No aplica")</f>
        <v>#DIV/0!</v>
      </c>
      <c r="AN92" s="289" t="e">
        <f>IF(DemandaEstrateg_[[#This Row],[Tipo de Requerimiento]]="Proyecto",(DemandaEstrateg_[[#This Row],[% Avance ejecutado]]-DemandaEstrateg_[[#This Row],[% Avance Planificado]])/DemandaEstrateg_[[#This Row],[% Avance Planificado]],"No aplica")</f>
        <v>#DIV/0!</v>
      </c>
      <c r="AO92" s="117"/>
      <c r="AP92" s="117"/>
      <c r="AQ92" s="117"/>
      <c r="AR92" s="117"/>
      <c r="AS92" s="290" t="e">
        <f>VLOOKUP(DemandaEstrateg_[[#This Row],[Últ. Estado CQ 30.04]],#REF!,3,FALSE)</f>
        <v>#REF!</v>
      </c>
      <c r="AT92" s="246" t="s">
        <v>51</v>
      </c>
      <c r="AU92" s="306" t="s">
        <v>193</v>
      </c>
      <c r="AV92" s="137" t="s">
        <v>194</v>
      </c>
    </row>
    <row r="93" spans="1:48" s="36" customFormat="1" ht="12.75" x14ac:dyDescent="0.25">
      <c r="A93" s="3">
        <v>89</v>
      </c>
      <c r="B93" s="275"/>
      <c r="C93" s="275"/>
      <c r="D93" s="275"/>
      <c r="E93" s="3" t="s">
        <v>90</v>
      </c>
      <c r="F93" s="148" t="s">
        <v>518</v>
      </c>
      <c r="G93" s="277"/>
      <c r="H93" s="276" t="s">
        <v>302</v>
      </c>
      <c r="I93" s="276"/>
      <c r="J93" s="276"/>
      <c r="K93" s="278"/>
      <c r="L93" s="340"/>
      <c r="M93" s="341"/>
      <c r="N93" s="275"/>
      <c r="O93" s="275"/>
      <c r="P93" s="275"/>
      <c r="Q93" s="341"/>
      <c r="R93" s="275"/>
      <c r="S93" s="275"/>
      <c r="T93" s="275"/>
      <c r="U93" s="275"/>
      <c r="V93" s="275"/>
      <c r="W93" s="346"/>
      <c r="X93" s="346"/>
      <c r="Y93" s="279"/>
      <c r="Z93" s="3"/>
      <c r="AA93" s="280"/>
      <c r="AB93" s="275"/>
      <c r="AC93" s="275"/>
      <c r="AD93" s="275"/>
      <c r="AE93" s="275"/>
      <c r="AF93" s="283"/>
      <c r="AG93" s="284"/>
      <c r="AH93" s="78">
        <v>47149</v>
      </c>
      <c r="AI93" s="78">
        <v>47513</v>
      </c>
      <c r="AJ93" s="342"/>
      <c r="AK93" s="343"/>
      <c r="AL93" s="343"/>
      <c r="AM93" s="288" t="e">
        <f>IF(DemandaEstrateg_[[#This Row],[Tipo de Requerimiento]]="Proyecto",(DemandaEstrateg_[[#This Row],[% Avance ejecutado]]-DemandaEstrateg_[[#This Row],[% Avance Planificado]])/DemandaEstrateg_[[#This Row],[% Avance Planificado]],"No aplica")</f>
        <v>#DIV/0!</v>
      </c>
      <c r="AN93" s="289" t="e">
        <f>IF(DemandaEstrateg_[[#This Row],[Tipo de Requerimiento]]="Proyecto",(DemandaEstrateg_[[#This Row],[% Avance ejecutado]]-DemandaEstrateg_[[#This Row],[% Avance Planificado]])/DemandaEstrateg_[[#This Row],[% Avance Planificado]],"No aplica")</f>
        <v>#DIV/0!</v>
      </c>
      <c r="AO93" s="117"/>
      <c r="AP93" s="117"/>
      <c r="AQ93" s="117"/>
      <c r="AR93" s="117"/>
      <c r="AS93" s="290" t="e">
        <f>VLOOKUP(DemandaEstrateg_[[#This Row],[Últ. Estado CQ 30.04]],#REF!,3,FALSE)</f>
        <v>#REF!</v>
      </c>
      <c r="AT93" s="246" t="s">
        <v>51</v>
      </c>
      <c r="AU93" s="306" t="s">
        <v>193</v>
      </c>
      <c r="AV93" s="137" t="s">
        <v>194</v>
      </c>
    </row>
    <row r="94" spans="1:48" s="36" customFormat="1" ht="12.75" x14ac:dyDescent="0.25">
      <c r="A94" s="3">
        <v>90</v>
      </c>
      <c r="B94" s="275"/>
      <c r="C94" s="275"/>
      <c r="D94" s="275"/>
      <c r="E94" s="3" t="s">
        <v>90</v>
      </c>
      <c r="F94" s="254" t="s">
        <v>519</v>
      </c>
      <c r="G94" s="277"/>
      <c r="H94" s="276" t="s">
        <v>302</v>
      </c>
      <c r="I94" s="276"/>
      <c r="J94" s="276"/>
      <c r="K94" s="278"/>
      <c r="L94" s="340"/>
      <c r="M94" s="341"/>
      <c r="N94" s="275"/>
      <c r="O94" s="275"/>
      <c r="P94" s="275"/>
      <c r="Q94" s="341"/>
      <c r="R94" s="275"/>
      <c r="S94" s="275"/>
      <c r="T94" s="275"/>
      <c r="U94" s="275"/>
      <c r="V94" s="275"/>
      <c r="W94" s="346"/>
      <c r="X94" s="346"/>
      <c r="Y94" s="279"/>
      <c r="Z94" s="3"/>
      <c r="AA94" s="280"/>
      <c r="AB94" s="275"/>
      <c r="AC94" s="275"/>
      <c r="AD94" s="275"/>
      <c r="AE94" s="275"/>
      <c r="AF94" s="283"/>
      <c r="AG94" s="284"/>
      <c r="AH94" s="78">
        <v>46743</v>
      </c>
      <c r="AI94" s="78">
        <v>46920</v>
      </c>
      <c r="AJ94" s="342"/>
      <c r="AK94" s="343"/>
      <c r="AL94" s="343"/>
      <c r="AM94" s="288" t="e">
        <f>IF(DemandaEstrateg_[[#This Row],[Tipo de Requerimiento]]="Proyecto",(DemandaEstrateg_[[#This Row],[% Avance ejecutado]]-DemandaEstrateg_[[#This Row],[% Avance Planificado]])/DemandaEstrateg_[[#This Row],[% Avance Planificado]],"No aplica")</f>
        <v>#DIV/0!</v>
      </c>
      <c r="AN94" s="289" t="e">
        <f>IF(DemandaEstrateg_[[#This Row],[Tipo de Requerimiento]]="Proyecto",(DemandaEstrateg_[[#This Row],[% Avance ejecutado]]-DemandaEstrateg_[[#This Row],[% Avance Planificado]])/DemandaEstrateg_[[#This Row],[% Avance Planificado]],"No aplica")</f>
        <v>#DIV/0!</v>
      </c>
      <c r="AO94" s="117"/>
      <c r="AP94" s="117"/>
      <c r="AQ94" s="117"/>
      <c r="AR94" s="117"/>
      <c r="AS94" s="290" t="e">
        <f>VLOOKUP(DemandaEstrateg_[[#This Row],[Últ. Estado CQ 30.04]],#REF!,3,FALSE)</f>
        <v>#REF!</v>
      </c>
      <c r="AT94" s="246" t="s">
        <v>51</v>
      </c>
      <c r="AU94" s="306" t="s">
        <v>193</v>
      </c>
      <c r="AV94" s="137" t="s">
        <v>194</v>
      </c>
    </row>
    <row r="95" spans="1:48" s="36" customFormat="1" ht="12.75" x14ac:dyDescent="0.25">
      <c r="A95" s="3">
        <v>91</v>
      </c>
      <c r="B95" s="275"/>
      <c r="C95" s="275"/>
      <c r="D95" s="275"/>
      <c r="E95" s="3" t="s">
        <v>90</v>
      </c>
      <c r="F95" s="148" t="s">
        <v>520</v>
      </c>
      <c r="G95" s="277"/>
      <c r="H95" s="276" t="s">
        <v>302</v>
      </c>
      <c r="I95" s="276"/>
      <c r="J95" s="276"/>
      <c r="K95" s="278"/>
      <c r="L95" s="340"/>
      <c r="M95" s="341"/>
      <c r="N95" s="275"/>
      <c r="O95" s="275"/>
      <c r="P95" s="275"/>
      <c r="Q95" s="341"/>
      <c r="R95" s="275"/>
      <c r="S95" s="275"/>
      <c r="T95" s="275"/>
      <c r="U95" s="275"/>
      <c r="V95" s="275"/>
      <c r="W95" s="346"/>
      <c r="X95" s="346"/>
      <c r="Y95" s="279"/>
      <c r="Z95" s="3"/>
      <c r="AA95" s="280"/>
      <c r="AB95" s="275"/>
      <c r="AC95" s="275"/>
      <c r="AD95" s="275"/>
      <c r="AE95" s="275"/>
      <c r="AF95" s="283"/>
      <c r="AG95" s="284"/>
      <c r="AH95" s="78">
        <v>46276</v>
      </c>
      <c r="AI95" s="78">
        <v>47568</v>
      </c>
      <c r="AJ95" s="342"/>
      <c r="AK95" s="343"/>
      <c r="AL95" s="343"/>
      <c r="AM95" s="288" t="e">
        <f>IF(DemandaEstrateg_[[#This Row],[Tipo de Requerimiento]]="Proyecto",(DemandaEstrateg_[[#This Row],[% Avance ejecutado]]-DemandaEstrateg_[[#This Row],[% Avance Planificado]])/DemandaEstrateg_[[#This Row],[% Avance Planificado]],"No aplica")</f>
        <v>#DIV/0!</v>
      </c>
      <c r="AN95" s="289" t="e">
        <f>IF(DemandaEstrateg_[[#This Row],[Tipo de Requerimiento]]="Proyecto",(DemandaEstrateg_[[#This Row],[% Avance ejecutado]]-DemandaEstrateg_[[#This Row],[% Avance Planificado]])/DemandaEstrateg_[[#This Row],[% Avance Planificado]],"No aplica")</f>
        <v>#DIV/0!</v>
      </c>
      <c r="AO95" s="117"/>
      <c r="AP95" s="117"/>
      <c r="AQ95" s="117"/>
      <c r="AR95" s="117"/>
      <c r="AS95" s="290" t="e">
        <f>VLOOKUP(DemandaEstrateg_[[#This Row],[Últ. Estado CQ 30.04]],#REF!,3,FALSE)</f>
        <v>#REF!</v>
      </c>
      <c r="AT95" s="246" t="s">
        <v>51</v>
      </c>
      <c r="AU95" s="306" t="s">
        <v>193</v>
      </c>
      <c r="AV95" s="137" t="s">
        <v>194</v>
      </c>
    </row>
    <row r="96" spans="1:48" s="36" customFormat="1" ht="12.75" x14ac:dyDescent="0.25">
      <c r="A96" s="3">
        <v>92</v>
      </c>
      <c r="B96" s="275"/>
      <c r="C96" s="275"/>
      <c r="D96" s="275"/>
      <c r="E96" s="3" t="s">
        <v>90</v>
      </c>
      <c r="F96" s="254" t="s">
        <v>521</v>
      </c>
      <c r="G96" s="277"/>
      <c r="H96" s="276" t="s">
        <v>302</v>
      </c>
      <c r="I96" s="276"/>
      <c r="J96" s="276"/>
      <c r="K96" s="278"/>
      <c r="L96" s="340"/>
      <c r="M96" s="341"/>
      <c r="N96" s="275"/>
      <c r="O96" s="275"/>
      <c r="P96" s="275"/>
      <c r="Q96" s="341"/>
      <c r="R96" s="275"/>
      <c r="S96" s="275"/>
      <c r="T96" s="275"/>
      <c r="U96" s="275"/>
      <c r="V96" s="275"/>
      <c r="W96" s="346"/>
      <c r="X96" s="346"/>
      <c r="Y96" s="279"/>
      <c r="Z96" s="3"/>
      <c r="AA96" s="280"/>
      <c r="AB96" s="275"/>
      <c r="AC96" s="275"/>
      <c r="AD96" s="275"/>
      <c r="AE96" s="275"/>
      <c r="AF96" s="283"/>
      <c r="AG96" s="284"/>
      <c r="AH96" s="78">
        <v>46183</v>
      </c>
      <c r="AI96" s="78">
        <v>47568</v>
      </c>
      <c r="AJ96" s="342"/>
      <c r="AK96" s="343"/>
      <c r="AL96" s="343"/>
      <c r="AM96" s="288" t="e">
        <f>IF(DemandaEstrateg_[[#This Row],[Tipo de Requerimiento]]="Proyecto",(DemandaEstrateg_[[#This Row],[% Avance ejecutado]]-DemandaEstrateg_[[#This Row],[% Avance Planificado]])/DemandaEstrateg_[[#This Row],[% Avance Planificado]],"No aplica")</f>
        <v>#DIV/0!</v>
      </c>
      <c r="AN96" s="289" t="e">
        <f>IF(DemandaEstrateg_[[#This Row],[Tipo de Requerimiento]]="Proyecto",(DemandaEstrateg_[[#This Row],[% Avance ejecutado]]-DemandaEstrateg_[[#This Row],[% Avance Planificado]])/DemandaEstrateg_[[#This Row],[% Avance Planificado]],"No aplica")</f>
        <v>#DIV/0!</v>
      </c>
      <c r="AO96" s="117"/>
      <c r="AP96" s="117"/>
      <c r="AQ96" s="117"/>
      <c r="AR96" s="117"/>
      <c r="AS96" s="290" t="e">
        <f>VLOOKUP(DemandaEstrateg_[[#This Row],[Últ. Estado CQ 30.04]],#REF!,3,FALSE)</f>
        <v>#REF!</v>
      </c>
      <c r="AT96" s="246" t="s">
        <v>51</v>
      </c>
      <c r="AU96" s="306" t="s">
        <v>193</v>
      </c>
      <c r="AV96" s="137" t="s">
        <v>194</v>
      </c>
    </row>
    <row r="97" spans="1:48" s="36" customFormat="1" ht="12.75" x14ac:dyDescent="0.25">
      <c r="A97" s="3">
        <v>93</v>
      </c>
      <c r="B97" s="275"/>
      <c r="C97" s="275"/>
      <c r="D97" s="275"/>
      <c r="E97" s="3" t="s">
        <v>90</v>
      </c>
      <c r="F97" s="148" t="s">
        <v>522</v>
      </c>
      <c r="G97" s="277"/>
      <c r="H97" s="276" t="s">
        <v>302</v>
      </c>
      <c r="I97" s="276"/>
      <c r="J97" s="276"/>
      <c r="K97" s="278"/>
      <c r="L97" s="340"/>
      <c r="M97" s="341"/>
      <c r="N97" s="275"/>
      <c r="O97" s="275"/>
      <c r="P97" s="275"/>
      <c r="Q97" s="341"/>
      <c r="R97" s="275"/>
      <c r="S97" s="275"/>
      <c r="T97" s="275"/>
      <c r="U97" s="275"/>
      <c r="V97" s="275"/>
      <c r="W97" s="346"/>
      <c r="X97" s="346"/>
      <c r="Y97" s="279"/>
      <c r="Z97" s="3"/>
      <c r="AA97" s="280"/>
      <c r="AB97" s="275"/>
      <c r="AC97" s="275"/>
      <c r="AD97" s="275"/>
      <c r="AE97" s="275"/>
      <c r="AF97" s="283"/>
      <c r="AG97" s="284"/>
      <c r="AH97" s="78">
        <v>46399</v>
      </c>
      <c r="AI97" s="78">
        <v>46762</v>
      </c>
      <c r="AJ97" s="342"/>
      <c r="AK97" s="343"/>
      <c r="AL97" s="343"/>
      <c r="AM97" s="288" t="e">
        <f>IF(DemandaEstrateg_[[#This Row],[Tipo de Requerimiento]]="Proyecto",(DemandaEstrateg_[[#This Row],[% Avance ejecutado]]-DemandaEstrateg_[[#This Row],[% Avance Planificado]])/DemandaEstrateg_[[#This Row],[% Avance Planificado]],"No aplica")</f>
        <v>#DIV/0!</v>
      </c>
      <c r="AN97" s="289" t="e">
        <f>IF(DemandaEstrateg_[[#This Row],[Tipo de Requerimiento]]="Proyecto",(DemandaEstrateg_[[#This Row],[% Avance ejecutado]]-DemandaEstrateg_[[#This Row],[% Avance Planificado]])/DemandaEstrateg_[[#This Row],[% Avance Planificado]],"No aplica")</f>
        <v>#DIV/0!</v>
      </c>
      <c r="AO97" s="117"/>
      <c r="AP97" s="117"/>
      <c r="AQ97" s="117"/>
      <c r="AR97" s="117"/>
      <c r="AS97" s="290" t="e">
        <f>VLOOKUP(DemandaEstrateg_[[#This Row],[Últ. Estado CQ 30.04]],#REF!,3,FALSE)</f>
        <v>#REF!</v>
      </c>
      <c r="AT97" s="246" t="s">
        <v>51</v>
      </c>
      <c r="AU97" s="306" t="s">
        <v>193</v>
      </c>
      <c r="AV97" s="137" t="s">
        <v>194</v>
      </c>
    </row>
    <row r="98" spans="1:48" s="36" customFormat="1" ht="12.75" x14ac:dyDescent="0.25">
      <c r="A98" s="3">
        <v>94</v>
      </c>
      <c r="B98" s="275"/>
      <c r="C98" s="275"/>
      <c r="D98" s="275"/>
      <c r="E98" s="3" t="s">
        <v>90</v>
      </c>
      <c r="F98" s="254" t="s">
        <v>523</v>
      </c>
      <c r="G98" s="277"/>
      <c r="H98" s="276" t="s">
        <v>302</v>
      </c>
      <c r="I98" s="276"/>
      <c r="J98" s="276"/>
      <c r="K98" s="278"/>
      <c r="L98" s="340"/>
      <c r="M98" s="341"/>
      <c r="N98" s="275"/>
      <c r="O98" s="275"/>
      <c r="P98" s="275"/>
      <c r="Q98" s="341"/>
      <c r="R98" s="275"/>
      <c r="S98" s="275"/>
      <c r="T98" s="275"/>
      <c r="U98" s="275"/>
      <c r="V98" s="275"/>
      <c r="W98" s="346"/>
      <c r="X98" s="346"/>
      <c r="Y98" s="279"/>
      <c r="Z98" s="3"/>
      <c r="AA98" s="280"/>
      <c r="AB98" s="275"/>
      <c r="AC98" s="275"/>
      <c r="AD98" s="275"/>
      <c r="AE98" s="275"/>
      <c r="AF98" s="283"/>
      <c r="AG98" s="284"/>
      <c r="AH98" s="78">
        <v>46553</v>
      </c>
      <c r="AI98" s="78">
        <v>46981</v>
      </c>
      <c r="AJ98" s="342"/>
      <c r="AK98" s="343"/>
      <c r="AL98" s="343"/>
      <c r="AM98" s="288" t="e">
        <f>IF(DemandaEstrateg_[[#This Row],[Tipo de Requerimiento]]="Proyecto",(DemandaEstrateg_[[#This Row],[% Avance ejecutado]]-DemandaEstrateg_[[#This Row],[% Avance Planificado]])/DemandaEstrateg_[[#This Row],[% Avance Planificado]],"No aplica")</f>
        <v>#DIV/0!</v>
      </c>
      <c r="AN98" s="289" t="e">
        <f>IF(DemandaEstrateg_[[#This Row],[Tipo de Requerimiento]]="Proyecto",(DemandaEstrateg_[[#This Row],[% Avance ejecutado]]-DemandaEstrateg_[[#This Row],[% Avance Planificado]])/DemandaEstrateg_[[#This Row],[% Avance Planificado]],"No aplica")</f>
        <v>#DIV/0!</v>
      </c>
      <c r="AO98" s="117"/>
      <c r="AP98" s="117"/>
      <c r="AQ98" s="117"/>
      <c r="AR98" s="117"/>
      <c r="AS98" s="290" t="e">
        <f>VLOOKUP(DemandaEstrateg_[[#This Row],[Últ. Estado CQ 30.04]],#REF!,3,FALSE)</f>
        <v>#REF!</v>
      </c>
      <c r="AT98" s="246" t="s">
        <v>51</v>
      </c>
      <c r="AU98" s="306" t="s">
        <v>193</v>
      </c>
      <c r="AV98" s="137" t="s">
        <v>194</v>
      </c>
    </row>
    <row r="99" spans="1:48" s="36" customFormat="1" ht="12.75" x14ac:dyDescent="0.25">
      <c r="A99" s="3">
        <v>95</v>
      </c>
      <c r="B99" s="275"/>
      <c r="C99" s="275"/>
      <c r="D99" s="275"/>
      <c r="E99" s="3" t="s">
        <v>90</v>
      </c>
      <c r="F99" s="148" t="s">
        <v>524</v>
      </c>
      <c r="G99" s="277"/>
      <c r="H99" s="276" t="s">
        <v>302</v>
      </c>
      <c r="I99" s="276"/>
      <c r="J99" s="276"/>
      <c r="K99" s="278"/>
      <c r="L99" s="340"/>
      <c r="M99" s="341"/>
      <c r="N99" s="275"/>
      <c r="O99" s="275"/>
      <c r="P99" s="275"/>
      <c r="Q99" s="341"/>
      <c r="R99" s="275"/>
      <c r="S99" s="275"/>
      <c r="T99" s="275"/>
      <c r="U99" s="275"/>
      <c r="V99" s="275"/>
      <c r="W99" s="346"/>
      <c r="X99" s="346"/>
      <c r="Y99" s="279"/>
      <c r="Z99" s="3"/>
      <c r="AA99" s="280"/>
      <c r="AB99" s="275"/>
      <c r="AC99" s="275"/>
      <c r="AD99" s="275"/>
      <c r="AE99" s="275"/>
      <c r="AF99" s="283"/>
      <c r="AG99" s="284"/>
      <c r="AH99" s="78">
        <v>46896</v>
      </c>
      <c r="AI99" s="78">
        <v>47568</v>
      </c>
      <c r="AJ99" s="342"/>
      <c r="AK99" s="343"/>
      <c r="AL99" s="343"/>
      <c r="AM99" s="288" t="e">
        <f>IF(DemandaEstrateg_[[#This Row],[Tipo de Requerimiento]]="Proyecto",(DemandaEstrateg_[[#This Row],[% Avance ejecutado]]-DemandaEstrateg_[[#This Row],[% Avance Planificado]])/DemandaEstrateg_[[#This Row],[% Avance Planificado]],"No aplica")</f>
        <v>#DIV/0!</v>
      </c>
      <c r="AN99" s="289" t="e">
        <f>IF(DemandaEstrateg_[[#This Row],[Tipo de Requerimiento]]="Proyecto",(DemandaEstrateg_[[#This Row],[% Avance ejecutado]]-DemandaEstrateg_[[#This Row],[% Avance Planificado]])/DemandaEstrateg_[[#This Row],[% Avance Planificado]],"No aplica")</f>
        <v>#DIV/0!</v>
      </c>
      <c r="AO99" s="117"/>
      <c r="AP99" s="117"/>
      <c r="AQ99" s="117"/>
      <c r="AR99" s="117"/>
      <c r="AS99" s="290" t="e">
        <f>VLOOKUP(DemandaEstrateg_[[#This Row],[Últ. Estado CQ 30.04]],#REF!,3,FALSE)</f>
        <v>#REF!</v>
      </c>
      <c r="AT99" s="246" t="s">
        <v>51</v>
      </c>
      <c r="AU99" s="306" t="s">
        <v>193</v>
      </c>
      <c r="AV99" s="137" t="s">
        <v>194</v>
      </c>
    </row>
    <row r="100" spans="1:48" s="36" customFormat="1" ht="12.75" x14ac:dyDescent="0.25">
      <c r="A100" s="3">
        <v>96</v>
      </c>
      <c r="B100" s="275"/>
      <c r="C100" s="275"/>
      <c r="D100" s="275"/>
      <c r="E100" s="3" t="s">
        <v>90</v>
      </c>
      <c r="F100" s="254" t="s">
        <v>525</v>
      </c>
      <c r="G100" s="277"/>
      <c r="H100" s="276" t="s">
        <v>302</v>
      </c>
      <c r="I100" s="276"/>
      <c r="J100" s="276"/>
      <c r="K100" s="278"/>
      <c r="L100" s="340"/>
      <c r="M100" s="341"/>
      <c r="N100" s="275"/>
      <c r="O100" s="275"/>
      <c r="P100" s="275"/>
      <c r="Q100" s="341"/>
      <c r="R100" s="275"/>
      <c r="S100" s="275"/>
      <c r="T100" s="275"/>
      <c r="U100" s="275"/>
      <c r="V100" s="275"/>
      <c r="W100" s="346"/>
      <c r="X100" s="346"/>
      <c r="Y100" s="279"/>
      <c r="Z100" s="3"/>
      <c r="AA100" s="280"/>
      <c r="AB100" s="275"/>
      <c r="AC100" s="275"/>
      <c r="AD100" s="275"/>
      <c r="AE100" s="275"/>
      <c r="AF100" s="283"/>
      <c r="AG100" s="284"/>
      <c r="AH100" s="78">
        <v>46594</v>
      </c>
      <c r="AI100" s="78">
        <v>46777</v>
      </c>
      <c r="AJ100" s="342"/>
      <c r="AK100" s="343"/>
      <c r="AL100" s="343"/>
      <c r="AM100" s="288" t="e">
        <f>IF(DemandaEstrateg_[[#This Row],[Tipo de Requerimiento]]="Proyecto",(DemandaEstrateg_[[#This Row],[% Avance ejecutado]]-DemandaEstrateg_[[#This Row],[% Avance Planificado]])/DemandaEstrateg_[[#This Row],[% Avance Planificado]],"No aplica")</f>
        <v>#DIV/0!</v>
      </c>
      <c r="AN100" s="289" t="e">
        <f>IF(DemandaEstrateg_[[#This Row],[Tipo de Requerimiento]]="Proyecto",(DemandaEstrateg_[[#This Row],[% Avance ejecutado]]-DemandaEstrateg_[[#This Row],[% Avance Planificado]])/DemandaEstrateg_[[#This Row],[% Avance Planificado]],"No aplica")</f>
        <v>#DIV/0!</v>
      </c>
      <c r="AO100" s="117"/>
      <c r="AP100" s="117"/>
      <c r="AQ100" s="117"/>
      <c r="AR100" s="117"/>
      <c r="AS100" s="290" t="e">
        <f>VLOOKUP(DemandaEstrateg_[[#This Row],[Últ. Estado CQ 30.04]],#REF!,3,FALSE)</f>
        <v>#REF!</v>
      </c>
      <c r="AT100" s="246" t="s">
        <v>51</v>
      </c>
      <c r="AU100" s="306" t="s">
        <v>193</v>
      </c>
      <c r="AV100" s="137" t="s">
        <v>194</v>
      </c>
    </row>
    <row r="101" spans="1:48" s="36" customFormat="1" ht="12.75" x14ac:dyDescent="0.25">
      <c r="A101" s="3">
        <v>97</v>
      </c>
      <c r="B101" s="275"/>
      <c r="C101" s="275"/>
      <c r="D101" s="275"/>
      <c r="E101" s="3" t="s">
        <v>90</v>
      </c>
      <c r="F101" s="148" t="s">
        <v>526</v>
      </c>
      <c r="G101" s="277"/>
      <c r="H101" s="276" t="s">
        <v>302</v>
      </c>
      <c r="I101" s="276"/>
      <c r="J101" s="276"/>
      <c r="K101" s="278"/>
      <c r="L101" s="340"/>
      <c r="M101" s="341"/>
      <c r="N101" s="275"/>
      <c r="O101" s="275"/>
      <c r="P101" s="275"/>
      <c r="Q101" s="341"/>
      <c r="R101" s="275"/>
      <c r="S101" s="275"/>
      <c r="T101" s="275"/>
      <c r="U101" s="275"/>
      <c r="V101" s="275"/>
      <c r="W101" s="346"/>
      <c r="X101" s="346"/>
      <c r="Y101" s="279"/>
      <c r="Z101" s="3"/>
      <c r="AA101" s="280"/>
      <c r="AB101" s="275"/>
      <c r="AC101" s="275"/>
      <c r="AD101" s="275"/>
      <c r="AE101" s="275"/>
      <c r="AF101" s="283"/>
      <c r="AG101" s="284"/>
      <c r="AH101" s="78">
        <v>46189</v>
      </c>
      <c r="AI101" s="78">
        <v>46238</v>
      </c>
      <c r="AJ101" s="342"/>
      <c r="AK101" s="343"/>
      <c r="AL101" s="343"/>
      <c r="AM101" s="288" t="e">
        <f>IF(DemandaEstrateg_[[#This Row],[Tipo de Requerimiento]]="Proyecto",(DemandaEstrateg_[[#This Row],[% Avance ejecutado]]-DemandaEstrateg_[[#This Row],[% Avance Planificado]])/DemandaEstrateg_[[#This Row],[% Avance Planificado]],"No aplica")</f>
        <v>#DIV/0!</v>
      </c>
      <c r="AN101" s="289" t="e">
        <f>IF(DemandaEstrateg_[[#This Row],[Tipo de Requerimiento]]="Proyecto",(DemandaEstrateg_[[#This Row],[% Avance ejecutado]]-DemandaEstrateg_[[#This Row],[% Avance Planificado]])/DemandaEstrateg_[[#This Row],[% Avance Planificado]],"No aplica")</f>
        <v>#DIV/0!</v>
      </c>
      <c r="AO101" s="117"/>
      <c r="AP101" s="117"/>
      <c r="AQ101" s="117"/>
      <c r="AR101" s="117"/>
      <c r="AS101" s="290" t="e">
        <f>VLOOKUP(DemandaEstrateg_[[#This Row],[Últ. Estado CQ 30.04]],#REF!,3,FALSE)</f>
        <v>#REF!</v>
      </c>
      <c r="AT101" s="246" t="s">
        <v>51</v>
      </c>
      <c r="AU101" s="306" t="s">
        <v>193</v>
      </c>
      <c r="AV101" s="137" t="s">
        <v>194</v>
      </c>
    </row>
    <row r="102" spans="1:48" s="36" customFormat="1" ht="12.75" x14ac:dyDescent="0.25">
      <c r="A102" s="3">
        <v>98</v>
      </c>
      <c r="B102" s="275"/>
      <c r="C102" s="275"/>
      <c r="D102" s="275"/>
      <c r="E102" s="3" t="s">
        <v>90</v>
      </c>
      <c r="F102" s="254" t="s">
        <v>527</v>
      </c>
      <c r="G102" s="277"/>
      <c r="H102" s="276" t="s">
        <v>302</v>
      </c>
      <c r="I102" s="276"/>
      <c r="J102" s="276"/>
      <c r="K102" s="278"/>
      <c r="L102" s="340"/>
      <c r="M102" s="341"/>
      <c r="N102" s="275"/>
      <c r="O102" s="275"/>
      <c r="P102" s="275"/>
      <c r="Q102" s="341"/>
      <c r="R102" s="275"/>
      <c r="S102" s="275"/>
      <c r="T102" s="275"/>
      <c r="U102" s="275"/>
      <c r="V102" s="275"/>
      <c r="W102" s="346"/>
      <c r="X102" s="346"/>
      <c r="Y102" s="279"/>
      <c r="Z102" s="3"/>
      <c r="AA102" s="280"/>
      <c r="AB102" s="275"/>
      <c r="AC102" s="275"/>
      <c r="AD102" s="275"/>
      <c r="AE102" s="275"/>
      <c r="AF102" s="283"/>
      <c r="AG102" s="284"/>
      <c r="AH102" s="78">
        <v>46633</v>
      </c>
      <c r="AI102" s="78">
        <v>46876</v>
      </c>
      <c r="AJ102" s="342"/>
      <c r="AK102" s="343"/>
      <c r="AL102" s="343"/>
      <c r="AM102" s="288" t="e">
        <f>IF(DemandaEstrateg_[[#This Row],[Tipo de Requerimiento]]="Proyecto",(DemandaEstrateg_[[#This Row],[% Avance ejecutado]]-DemandaEstrateg_[[#This Row],[% Avance Planificado]])/DemandaEstrateg_[[#This Row],[% Avance Planificado]],"No aplica")</f>
        <v>#DIV/0!</v>
      </c>
      <c r="AN102" s="289" t="e">
        <f>IF(DemandaEstrateg_[[#This Row],[Tipo de Requerimiento]]="Proyecto",(DemandaEstrateg_[[#This Row],[% Avance ejecutado]]-DemandaEstrateg_[[#This Row],[% Avance Planificado]])/DemandaEstrateg_[[#This Row],[% Avance Planificado]],"No aplica")</f>
        <v>#DIV/0!</v>
      </c>
      <c r="AO102" s="117"/>
      <c r="AP102" s="117"/>
      <c r="AQ102" s="117"/>
      <c r="AR102" s="117"/>
      <c r="AS102" s="290" t="e">
        <f>VLOOKUP(DemandaEstrateg_[[#This Row],[Últ. Estado CQ 30.04]],#REF!,3,FALSE)</f>
        <v>#REF!</v>
      </c>
      <c r="AT102" s="246" t="s">
        <v>51</v>
      </c>
      <c r="AU102" s="306" t="s">
        <v>193</v>
      </c>
      <c r="AV102" s="137" t="s">
        <v>194</v>
      </c>
    </row>
    <row r="103" spans="1:48" s="36" customFormat="1" ht="12.75" x14ac:dyDescent="0.25">
      <c r="A103" s="3">
        <v>99</v>
      </c>
      <c r="B103" s="275"/>
      <c r="C103" s="275"/>
      <c r="D103" s="275"/>
      <c r="E103" s="3" t="s">
        <v>90</v>
      </c>
      <c r="F103" s="148" t="s">
        <v>528</v>
      </c>
      <c r="G103" s="277"/>
      <c r="H103" s="276" t="s">
        <v>302</v>
      </c>
      <c r="I103" s="276"/>
      <c r="J103" s="276"/>
      <c r="K103" s="278"/>
      <c r="L103" s="340"/>
      <c r="M103" s="341"/>
      <c r="N103" s="275"/>
      <c r="O103" s="275"/>
      <c r="P103" s="275"/>
      <c r="Q103" s="341"/>
      <c r="R103" s="275"/>
      <c r="S103" s="275"/>
      <c r="T103" s="275"/>
      <c r="U103" s="275"/>
      <c r="V103" s="275"/>
      <c r="W103" s="346"/>
      <c r="X103" s="346"/>
      <c r="Y103" s="279"/>
      <c r="Z103" s="3"/>
      <c r="AA103" s="280"/>
      <c r="AB103" s="275"/>
      <c r="AC103" s="275"/>
      <c r="AD103" s="275"/>
      <c r="AE103" s="275"/>
      <c r="AF103" s="283"/>
      <c r="AG103" s="284"/>
      <c r="AH103" s="78">
        <v>46723</v>
      </c>
      <c r="AI103" s="78">
        <v>46897</v>
      </c>
      <c r="AJ103" s="342"/>
      <c r="AK103" s="343"/>
      <c r="AL103" s="343"/>
      <c r="AM103" s="288" t="e">
        <f>IF(DemandaEstrateg_[[#This Row],[Tipo de Requerimiento]]="Proyecto",(DemandaEstrateg_[[#This Row],[% Avance ejecutado]]-DemandaEstrateg_[[#This Row],[% Avance Planificado]])/DemandaEstrateg_[[#This Row],[% Avance Planificado]],"No aplica")</f>
        <v>#DIV/0!</v>
      </c>
      <c r="AN103" s="289" t="e">
        <f>IF(DemandaEstrateg_[[#This Row],[Tipo de Requerimiento]]="Proyecto",(DemandaEstrateg_[[#This Row],[% Avance ejecutado]]-DemandaEstrateg_[[#This Row],[% Avance Planificado]])/DemandaEstrateg_[[#This Row],[% Avance Planificado]],"No aplica")</f>
        <v>#DIV/0!</v>
      </c>
      <c r="AO103" s="117"/>
      <c r="AP103" s="117"/>
      <c r="AQ103" s="117"/>
      <c r="AR103" s="117"/>
      <c r="AS103" s="290" t="e">
        <f>VLOOKUP(DemandaEstrateg_[[#This Row],[Últ. Estado CQ 30.04]],#REF!,3,FALSE)</f>
        <v>#REF!</v>
      </c>
      <c r="AT103" s="246" t="s">
        <v>51</v>
      </c>
      <c r="AU103" s="306" t="s">
        <v>193</v>
      </c>
      <c r="AV103" s="137" t="s">
        <v>194</v>
      </c>
    </row>
    <row r="104" spans="1:48" s="36" customFormat="1" ht="12.75" x14ac:dyDescent="0.25">
      <c r="A104" s="3">
        <v>100</v>
      </c>
      <c r="B104" s="275"/>
      <c r="C104" s="275"/>
      <c r="D104" s="275"/>
      <c r="E104" s="3" t="s">
        <v>90</v>
      </c>
      <c r="F104" s="254" t="s">
        <v>529</v>
      </c>
      <c r="G104" s="277"/>
      <c r="H104" s="276" t="s">
        <v>302</v>
      </c>
      <c r="I104" s="276"/>
      <c r="J104" s="276"/>
      <c r="K104" s="278"/>
      <c r="L104" s="340"/>
      <c r="M104" s="341"/>
      <c r="N104" s="275"/>
      <c r="O104" s="275"/>
      <c r="P104" s="275"/>
      <c r="Q104" s="341"/>
      <c r="R104" s="275"/>
      <c r="S104" s="275"/>
      <c r="T104" s="275"/>
      <c r="U104" s="275"/>
      <c r="V104" s="275"/>
      <c r="W104" s="346"/>
      <c r="X104" s="346"/>
      <c r="Y104" s="279"/>
      <c r="Z104" s="3"/>
      <c r="AA104" s="280"/>
      <c r="AB104" s="275"/>
      <c r="AC104" s="275"/>
      <c r="AD104" s="275"/>
      <c r="AE104" s="275"/>
      <c r="AF104" s="283"/>
      <c r="AG104" s="284"/>
      <c r="AH104" s="78">
        <v>46436</v>
      </c>
      <c r="AI104" s="78">
        <v>46608</v>
      </c>
      <c r="AJ104" s="342"/>
      <c r="AK104" s="343"/>
      <c r="AL104" s="343"/>
      <c r="AM104" s="288" t="e">
        <f>IF(DemandaEstrateg_[[#This Row],[Tipo de Requerimiento]]="Proyecto",(DemandaEstrateg_[[#This Row],[% Avance ejecutado]]-DemandaEstrateg_[[#This Row],[% Avance Planificado]])/DemandaEstrateg_[[#This Row],[% Avance Planificado]],"No aplica")</f>
        <v>#DIV/0!</v>
      </c>
      <c r="AN104" s="289" t="e">
        <f>IF(DemandaEstrateg_[[#This Row],[Tipo de Requerimiento]]="Proyecto",(DemandaEstrateg_[[#This Row],[% Avance ejecutado]]-DemandaEstrateg_[[#This Row],[% Avance Planificado]])/DemandaEstrateg_[[#This Row],[% Avance Planificado]],"No aplica")</f>
        <v>#DIV/0!</v>
      </c>
      <c r="AO104" s="117"/>
      <c r="AP104" s="117"/>
      <c r="AQ104" s="117"/>
      <c r="AR104" s="117"/>
      <c r="AS104" s="290" t="e">
        <f>VLOOKUP(DemandaEstrateg_[[#This Row],[Últ. Estado CQ 30.04]],#REF!,3,FALSE)</f>
        <v>#REF!</v>
      </c>
      <c r="AT104" s="246" t="s">
        <v>51</v>
      </c>
      <c r="AU104" s="306" t="s">
        <v>193</v>
      </c>
      <c r="AV104" s="137" t="s">
        <v>194</v>
      </c>
    </row>
    <row r="105" spans="1:48" s="36" customFormat="1" ht="12.75" x14ac:dyDescent="0.25">
      <c r="A105" s="3">
        <v>101</v>
      </c>
      <c r="B105" s="275"/>
      <c r="C105" s="275"/>
      <c r="D105" s="275"/>
      <c r="E105" s="3" t="s">
        <v>90</v>
      </c>
      <c r="F105" s="148" t="s">
        <v>530</v>
      </c>
      <c r="G105" s="277"/>
      <c r="H105" s="276" t="s">
        <v>302</v>
      </c>
      <c r="I105" s="276"/>
      <c r="J105" s="276"/>
      <c r="K105" s="278"/>
      <c r="L105" s="340"/>
      <c r="M105" s="341"/>
      <c r="N105" s="275"/>
      <c r="O105" s="275"/>
      <c r="P105" s="275"/>
      <c r="Q105" s="341"/>
      <c r="R105" s="275"/>
      <c r="S105" s="275"/>
      <c r="T105" s="275"/>
      <c r="U105" s="275"/>
      <c r="V105" s="275"/>
      <c r="W105" s="346"/>
      <c r="X105" s="346"/>
      <c r="Y105" s="279"/>
      <c r="Z105" s="3"/>
      <c r="AA105" s="280"/>
      <c r="AB105" s="275"/>
      <c r="AC105" s="275"/>
      <c r="AD105" s="275"/>
      <c r="AE105" s="275"/>
      <c r="AF105" s="283"/>
      <c r="AG105" s="284"/>
      <c r="AH105" s="78">
        <v>46447</v>
      </c>
      <c r="AI105" s="78">
        <v>46689</v>
      </c>
      <c r="AJ105" s="342"/>
      <c r="AK105" s="343"/>
      <c r="AL105" s="343"/>
      <c r="AM105" s="288" t="e">
        <f>IF(DemandaEstrateg_[[#This Row],[Tipo de Requerimiento]]="Proyecto",(DemandaEstrateg_[[#This Row],[% Avance ejecutado]]-DemandaEstrateg_[[#This Row],[% Avance Planificado]])/DemandaEstrateg_[[#This Row],[% Avance Planificado]],"No aplica")</f>
        <v>#DIV/0!</v>
      </c>
      <c r="AN105" s="289" t="e">
        <f>IF(DemandaEstrateg_[[#This Row],[Tipo de Requerimiento]]="Proyecto",(DemandaEstrateg_[[#This Row],[% Avance ejecutado]]-DemandaEstrateg_[[#This Row],[% Avance Planificado]])/DemandaEstrateg_[[#This Row],[% Avance Planificado]],"No aplica")</f>
        <v>#DIV/0!</v>
      </c>
      <c r="AO105" s="117"/>
      <c r="AP105" s="117"/>
      <c r="AQ105" s="117"/>
      <c r="AR105" s="117"/>
      <c r="AS105" s="290" t="e">
        <f>VLOOKUP(DemandaEstrateg_[[#This Row],[Últ. Estado CQ 30.04]],#REF!,3,FALSE)</f>
        <v>#REF!</v>
      </c>
      <c r="AT105" s="246" t="s">
        <v>51</v>
      </c>
      <c r="AU105" s="306" t="s">
        <v>193</v>
      </c>
      <c r="AV105" s="137" t="s">
        <v>194</v>
      </c>
    </row>
    <row r="106" spans="1:48" s="36" customFormat="1" ht="12.75" x14ac:dyDescent="0.25">
      <c r="A106" s="3">
        <v>102</v>
      </c>
      <c r="B106" s="275"/>
      <c r="C106" s="275"/>
      <c r="D106" s="275"/>
      <c r="E106" s="3" t="s">
        <v>90</v>
      </c>
      <c r="F106" s="254" t="s">
        <v>531</v>
      </c>
      <c r="G106" s="277"/>
      <c r="H106" s="276" t="s">
        <v>302</v>
      </c>
      <c r="I106" s="276"/>
      <c r="J106" s="276"/>
      <c r="K106" s="278"/>
      <c r="L106" s="340"/>
      <c r="M106" s="341"/>
      <c r="N106" s="275"/>
      <c r="O106" s="275"/>
      <c r="P106" s="275"/>
      <c r="Q106" s="341"/>
      <c r="R106" s="275"/>
      <c r="S106" s="275"/>
      <c r="T106" s="275"/>
      <c r="U106" s="275"/>
      <c r="V106" s="275"/>
      <c r="W106" s="346"/>
      <c r="X106" s="346"/>
      <c r="Y106" s="279"/>
      <c r="Z106" s="3"/>
      <c r="AA106" s="280"/>
      <c r="AB106" s="275"/>
      <c r="AC106" s="275"/>
      <c r="AD106" s="275"/>
      <c r="AE106" s="275"/>
      <c r="AF106" s="283"/>
      <c r="AG106" s="284"/>
      <c r="AH106" s="78">
        <v>46237</v>
      </c>
      <c r="AI106" s="78">
        <v>46506</v>
      </c>
      <c r="AJ106" s="342"/>
      <c r="AK106" s="343"/>
      <c r="AL106" s="343"/>
      <c r="AM106" s="288" t="e">
        <f>IF(DemandaEstrateg_[[#This Row],[Tipo de Requerimiento]]="Proyecto",(DemandaEstrateg_[[#This Row],[% Avance ejecutado]]-DemandaEstrateg_[[#This Row],[% Avance Planificado]])/DemandaEstrateg_[[#This Row],[% Avance Planificado]],"No aplica")</f>
        <v>#DIV/0!</v>
      </c>
      <c r="AN106" s="289" t="e">
        <f>IF(DemandaEstrateg_[[#This Row],[Tipo de Requerimiento]]="Proyecto",(DemandaEstrateg_[[#This Row],[% Avance ejecutado]]-DemandaEstrateg_[[#This Row],[% Avance Planificado]])/DemandaEstrateg_[[#This Row],[% Avance Planificado]],"No aplica")</f>
        <v>#DIV/0!</v>
      </c>
      <c r="AO106" s="117"/>
      <c r="AP106" s="117"/>
      <c r="AQ106" s="117"/>
      <c r="AR106" s="117"/>
      <c r="AS106" s="290" t="e">
        <f>VLOOKUP(DemandaEstrateg_[[#This Row],[Últ. Estado CQ 30.04]],#REF!,3,FALSE)</f>
        <v>#REF!</v>
      </c>
      <c r="AT106" s="246" t="s">
        <v>51</v>
      </c>
      <c r="AU106" s="306" t="s">
        <v>193</v>
      </c>
      <c r="AV106" s="137" t="s">
        <v>194</v>
      </c>
    </row>
    <row r="107" spans="1:48" s="36" customFormat="1" ht="12.75" x14ac:dyDescent="0.25">
      <c r="A107" s="3">
        <v>103</v>
      </c>
      <c r="B107" s="275"/>
      <c r="C107" s="275"/>
      <c r="D107" s="275"/>
      <c r="E107" s="3" t="s">
        <v>90</v>
      </c>
      <c r="F107" s="148" t="s">
        <v>532</v>
      </c>
      <c r="G107" s="277"/>
      <c r="H107" s="276" t="s">
        <v>302</v>
      </c>
      <c r="I107" s="276"/>
      <c r="J107" s="276"/>
      <c r="K107" s="278"/>
      <c r="L107" s="340"/>
      <c r="M107" s="341"/>
      <c r="N107" s="275"/>
      <c r="O107" s="275"/>
      <c r="P107" s="275"/>
      <c r="Q107" s="341"/>
      <c r="R107" s="275"/>
      <c r="S107" s="275"/>
      <c r="T107" s="275"/>
      <c r="U107" s="275"/>
      <c r="V107" s="275"/>
      <c r="W107" s="346"/>
      <c r="X107" s="346"/>
      <c r="Y107" s="279"/>
      <c r="Z107" s="3"/>
      <c r="AA107" s="280"/>
      <c r="AB107" s="275"/>
      <c r="AC107" s="275"/>
      <c r="AD107" s="275"/>
      <c r="AE107" s="275"/>
      <c r="AF107" s="283"/>
      <c r="AG107" s="284"/>
      <c r="AH107" s="78">
        <v>46203</v>
      </c>
      <c r="AI107" s="78">
        <v>46353</v>
      </c>
      <c r="AJ107" s="342"/>
      <c r="AK107" s="343"/>
      <c r="AL107" s="343"/>
      <c r="AM107" s="288" t="e">
        <f>IF(DemandaEstrateg_[[#This Row],[Tipo de Requerimiento]]="Proyecto",(DemandaEstrateg_[[#This Row],[% Avance ejecutado]]-DemandaEstrateg_[[#This Row],[% Avance Planificado]])/DemandaEstrateg_[[#This Row],[% Avance Planificado]],"No aplica")</f>
        <v>#DIV/0!</v>
      </c>
      <c r="AN107" s="289" t="e">
        <f>IF(DemandaEstrateg_[[#This Row],[Tipo de Requerimiento]]="Proyecto",(DemandaEstrateg_[[#This Row],[% Avance ejecutado]]-DemandaEstrateg_[[#This Row],[% Avance Planificado]])/DemandaEstrateg_[[#This Row],[% Avance Planificado]],"No aplica")</f>
        <v>#DIV/0!</v>
      </c>
      <c r="AO107" s="117"/>
      <c r="AP107" s="117"/>
      <c r="AQ107" s="117"/>
      <c r="AR107" s="117"/>
      <c r="AS107" s="290" t="e">
        <f>VLOOKUP(DemandaEstrateg_[[#This Row],[Últ. Estado CQ 30.04]],#REF!,3,FALSE)</f>
        <v>#REF!</v>
      </c>
      <c r="AT107" s="246" t="s">
        <v>51</v>
      </c>
      <c r="AU107" s="306" t="s">
        <v>193</v>
      </c>
      <c r="AV107" s="137" t="s">
        <v>194</v>
      </c>
    </row>
    <row r="108" spans="1:48" s="36" customFormat="1" ht="12.75" x14ac:dyDescent="0.25">
      <c r="A108" s="3">
        <v>104</v>
      </c>
      <c r="B108" s="275"/>
      <c r="C108" s="275"/>
      <c r="D108" s="275"/>
      <c r="E108" s="3" t="s">
        <v>90</v>
      </c>
      <c r="F108" s="254" t="s">
        <v>533</v>
      </c>
      <c r="G108" s="277"/>
      <c r="H108" s="276" t="s">
        <v>302</v>
      </c>
      <c r="I108" s="276"/>
      <c r="J108" s="276"/>
      <c r="K108" s="278"/>
      <c r="L108" s="340"/>
      <c r="M108" s="341"/>
      <c r="N108" s="275"/>
      <c r="O108" s="275"/>
      <c r="P108" s="275"/>
      <c r="Q108" s="341"/>
      <c r="R108" s="275"/>
      <c r="S108" s="275"/>
      <c r="T108" s="275"/>
      <c r="U108" s="275"/>
      <c r="V108" s="275"/>
      <c r="W108" s="346"/>
      <c r="X108" s="346"/>
      <c r="Y108" s="279"/>
      <c r="Z108" s="3"/>
      <c r="AA108" s="280"/>
      <c r="AB108" s="275"/>
      <c r="AC108" s="275"/>
      <c r="AD108" s="275"/>
      <c r="AE108" s="275"/>
      <c r="AF108" s="283"/>
      <c r="AG108" s="284"/>
      <c r="AH108" s="78">
        <v>46447</v>
      </c>
      <c r="AI108" s="78">
        <v>46605</v>
      </c>
      <c r="AJ108" s="342"/>
      <c r="AK108" s="343"/>
      <c r="AL108" s="343"/>
      <c r="AM108" s="288" t="e">
        <f>IF(DemandaEstrateg_[[#This Row],[Tipo de Requerimiento]]="Proyecto",(DemandaEstrateg_[[#This Row],[% Avance ejecutado]]-DemandaEstrateg_[[#This Row],[% Avance Planificado]])/DemandaEstrateg_[[#This Row],[% Avance Planificado]],"No aplica")</f>
        <v>#DIV/0!</v>
      </c>
      <c r="AN108" s="289" t="e">
        <f>IF(DemandaEstrateg_[[#This Row],[Tipo de Requerimiento]]="Proyecto",(DemandaEstrateg_[[#This Row],[% Avance ejecutado]]-DemandaEstrateg_[[#This Row],[% Avance Planificado]])/DemandaEstrateg_[[#This Row],[% Avance Planificado]],"No aplica")</f>
        <v>#DIV/0!</v>
      </c>
      <c r="AO108" s="117"/>
      <c r="AP108" s="117"/>
      <c r="AQ108" s="117"/>
      <c r="AR108" s="117"/>
      <c r="AS108" s="290" t="e">
        <f>VLOOKUP(DemandaEstrateg_[[#This Row],[Últ. Estado CQ 30.04]],#REF!,3,FALSE)</f>
        <v>#REF!</v>
      </c>
      <c r="AT108" s="246" t="s">
        <v>51</v>
      </c>
      <c r="AU108" s="306" t="s">
        <v>193</v>
      </c>
      <c r="AV108" s="137" t="s">
        <v>194</v>
      </c>
    </row>
    <row r="109" spans="1:48" s="36" customFormat="1" ht="12.75" x14ac:dyDescent="0.25">
      <c r="A109" s="3">
        <v>105</v>
      </c>
      <c r="B109" s="275"/>
      <c r="C109" s="275"/>
      <c r="D109" s="275"/>
      <c r="E109" s="3" t="s">
        <v>90</v>
      </c>
      <c r="F109" s="148" t="s">
        <v>534</v>
      </c>
      <c r="G109" s="277"/>
      <c r="H109" s="276" t="s">
        <v>302</v>
      </c>
      <c r="I109" s="276"/>
      <c r="J109" s="276"/>
      <c r="K109" s="278"/>
      <c r="L109" s="340"/>
      <c r="M109" s="341"/>
      <c r="N109" s="275"/>
      <c r="O109" s="275"/>
      <c r="P109" s="275"/>
      <c r="Q109" s="341"/>
      <c r="R109" s="275"/>
      <c r="S109" s="275"/>
      <c r="T109" s="275"/>
      <c r="U109" s="275"/>
      <c r="V109" s="275"/>
      <c r="W109" s="346"/>
      <c r="X109" s="346"/>
      <c r="Y109" s="279"/>
      <c r="Z109" s="3"/>
      <c r="AA109" s="280"/>
      <c r="AB109" s="275"/>
      <c r="AC109" s="275"/>
      <c r="AD109" s="275"/>
      <c r="AE109" s="275"/>
      <c r="AF109" s="283"/>
      <c r="AG109" s="284"/>
      <c r="AH109" s="78">
        <v>46436</v>
      </c>
      <c r="AI109" s="78">
        <v>46532</v>
      </c>
      <c r="AJ109" s="342"/>
      <c r="AK109" s="343"/>
      <c r="AL109" s="343"/>
      <c r="AM109" s="288" t="e">
        <f>IF(DemandaEstrateg_[[#This Row],[Tipo de Requerimiento]]="Proyecto",(DemandaEstrateg_[[#This Row],[% Avance ejecutado]]-DemandaEstrateg_[[#This Row],[% Avance Planificado]])/DemandaEstrateg_[[#This Row],[% Avance Planificado]],"No aplica")</f>
        <v>#DIV/0!</v>
      </c>
      <c r="AN109" s="289" t="e">
        <f>IF(DemandaEstrateg_[[#This Row],[Tipo de Requerimiento]]="Proyecto",(DemandaEstrateg_[[#This Row],[% Avance ejecutado]]-DemandaEstrateg_[[#This Row],[% Avance Planificado]])/DemandaEstrateg_[[#This Row],[% Avance Planificado]],"No aplica")</f>
        <v>#DIV/0!</v>
      </c>
      <c r="AO109" s="117"/>
      <c r="AP109" s="117"/>
      <c r="AQ109" s="117"/>
      <c r="AR109" s="117"/>
      <c r="AS109" s="290" t="e">
        <f>VLOOKUP(DemandaEstrateg_[[#This Row],[Últ. Estado CQ 30.04]],#REF!,3,FALSE)</f>
        <v>#REF!</v>
      </c>
      <c r="AT109" s="246" t="s">
        <v>51</v>
      </c>
      <c r="AU109" s="306" t="s">
        <v>193</v>
      </c>
      <c r="AV109" s="137" t="s">
        <v>194</v>
      </c>
    </row>
    <row r="110" spans="1:48" s="36" customFormat="1" ht="12.75" x14ac:dyDescent="0.25">
      <c r="A110" s="3">
        <v>106</v>
      </c>
      <c r="B110" s="275"/>
      <c r="C110" s="275"/>
      <c r="D110" s="275"/>
      <c r="E110" s="3" t="s">
        <v>90</v>
      </c>
      <c r="F110" s="254" t="s">
        <v>535</v>
      </c>
      <c r="G110" s="277"/>
      <c r="H110" s="276" t="s">
        <v>302</v>
      </c>
      <c r="I110" s="276"/>
      <c r="J110" s="276"/>
      <c r="K110" s="278"/>
      <c r="L110" s="340"/>
      <c r="M110" s="341"/>
      <c r="N110" s="275"/>
      <c r="O110" s="275"/>
      <c r="P110" s="275"/>
      <c r="Q110" s="341"/>
      <c r="R110" s="275"/>
      <c r="S110" s="275"/>
      <c r="T110" s="275"/>
      <c r="U110" s="275"/>
      <c r="V110" s="275"/>
      <c r="W110" s="346"/>
      <c r="X110" s="346"/>
      <c r="Y110" s="279"/>
      <c r="Z110" s="3"/>
      <c r="AA110" s="280"/>
      <c r="AB110" s="275"/>
      <c r="AC110" s="275"/>
      <c r="AD110" s="275"/>
      <c r="AE110" s="275"/>
      <c r="AF110" s="283"/>
      <c r="AG110" s="284"/>
      <c r="AH110" s="78">
        <v>46436</v>
      </c>
      <c r="AI110" s="78">
        <v>46622</v>
      </c>
      <c r="AJ110" s="342"/>
      <c r="AK110" s="343"/>
      <c r="AL110" s="343"/>
      <c r="AM110" s="288" t="e">
        <f>IF(DemandaEstrateg_[[#This Row],[Tipo de Requerimiento]]="Proyecto",(DemandaEstrateg_[[#This Row],[% Avance ejecutado]]-DemandaEstrateg_[[#This Row],[% Avance Planificado]])/DemandaEstrateg_[[#This Row],[% Avance Planificado]],"No aplica")</f>
        <v>#DIV/0!</v>
      </c>
      <c r="AN110" s="289" t="e">
        <f>IF(DemandaEstrateg_[[#This Row],[Tipo de Requerimiento]]="Proyecto",(DemandaEstrateg_[[#This Row],[% Avance ejecutado]]-DemandaEstrateg_[[#This Row],[% Avance Planificado]])/DemandaEstrateg_[[#This Row],[% Avance Planificado]],"No aplica")</f>
        <v>#DIV/0!</v>
      </c>
      <c r="AO110" s="117"/>
      <c r="AP110" s="117"/>
      <c r="AQ110" s="117"/>
      <c r="AR110" s="117"/>
      <c r="AS110" s="290" t="e">
        <f>VLOOKUP(DemandaEstrateg_[[#This Row],[Últ. Estado CQ 30.04]],#REF!,3,FALSE)</f>
        <v>#REF!</v>
      </c>
      <c r="AT110" s="246" t="s">
        <v>51</v>
      </c>
      <c r="AU110" s="306" t="s">
        <v>193</v>
      </c>
      <c r="AV110" s="137" t="s">
        <v>194</v>
      </c>
    </row>
    <row r="111" spans="1:48" s="36" customFormat="1" ht="12.75" x14ac:dyDescent="0.25">
      <c r="A111" s="3">
        <v>107</v>
      </c>
      <c r="B111" s="275"/>
      <c r="C111" s="275"/>
      <c r="D111" s="275"/>
      <c r="E111" s="3" t="s">
        <v>90</v>
      </c>
      <c r="F111" s="148" t="s">
        <v>536</v>
      </c>
      <c r="G111" s="277"/>
      <c r="H111" s="276" t="s">
        <v>302</v>
      </c>
      <c r="I111" s="276"/>
      <c r="J111" s="276"/>
      <c r="K111" s="278"/>
      <c r="L111" s="340"/>
      <c r="M111" s="341"/>
      <c r="N111" s="275"/>
      <c r="O111" s="275"/>
      <c r="P111" s="275"/>
      <c r="Q111" s="341"/>
      <c r="R111" s="275"/>
      <c r="S111" s="275"/>
      <c r="T111" s="275"/>
      <c r="U111" s="275"/>
      <c r="V111" s="275"/>
      <c r="W111" s="346"/>
      <c r="X111" s="346"/>
      <c r="Y111" s="279"/>
      <c r="Z111" s="3"/>
      <c r="AA111" s="280"/>
      <c r="AB111" s="275"/>
      <c r="AC111" s="275"/>
      <c r="AD111" s="275"/>
      <c r="AE111" s="275"/>
      <c r="AF111" s="283"/>
      <c r="AG111" s="284"/>
      <c r="AH111" s="78">
        <v>46797</v>
      </c>
      <c r="AI111" s="78">
        <v>46860</v>
      </c>
      <c r="AJ111" s="342"/>
      <c r="AK111" s="343"/>
      <c r="AL111" s="343"/>
      <c r="AM111" s="288" t="e">
        <f>IF(DemandaEstrateg_[[#This Row],[Tipo de Requerimiento]]="Proyecto",(DemandaEstrateg_[[#This Row],[% Avance ejecutado]]-DemandaEstrateg_[[#This Row],[% Avance Planificado]])/DemandaEstrateg_[[#This Row],[% Avance Planificado]],"No aplica")</f>
        <v>#DIV/0!</v>
      </c>
      <c r="AN111" s="289" t="e">
        <f>IF(DemandaEstrateg_[[#This Row],[Tipo de Requerimiento]]="Proyecto",(DemandaEstrateg_[[#This Row],[% Avance ejecutado]]-DemandaEstrateg_[[#This Row],[% Avance Planificado]])/DemandaEstrateg_[[#This Row],[% Avance Planificado]],"No aplica")</f>
        <v>#DIV/0!</v>
      </c>
      <c r="AO111" s="117"/>
      <c r="AP111" s="117"/>
      <c r="AQ111" s="117"/>
      <c r="AR111" s="117"/>
      <c r="AS111" s="290" t="e">
        <f>VLOOKUP(DemandaEstrateg_[[#This Row],[Últ. Estado CQ 30.04]],#REF!,3,FALSE)</f>
        <v>#REF!</v>
      </c>
      <c r="AT111" s="246" t="s">
        <v>51</v>
      </c>
      <c r="AU111" s="306" t="s">
        <v>193</v>
      </c>
      <c r="AV111" s="137" t="s">
        <v>194</v>
      </c>
    </row>
    <row r="112" spans="1:48" s="36" customFormat="1" ht="12.75" x14ac:dyDescent="0.25">
      <c r="A112" s="3">
        <v>108</v>
      </c>
      <c r="B112" s="275"/>
      <c r="C112" s="275"/>
      <c r="D112" s="275"/>
      <c r="E112" s="3" t="s">
        <v>90</v>
      </c>
      <c r="F112" s="254" t="s">
        <v>537</v>
      </c>
      <c r="G112" s="277"/>
      <c r="H112" s="276" t="s">
        <v>302</v>
      </c>
      <c r="I112" s="276"/>
      <c r="J112" s="276"/>
      <c r="K112" s="278"/>
      <c r="L112" s="340"/>
      <c r="M112" s="341"/>
      <c r="N112" s="275"/>
      <c r="O112" s="275"/>
      <c r="P112" s="275"/>
      <c r="Q112" s="341"/>
      <c r="R112" s="275"/>
      <c r="S112" s="275"/>
      <c r="T112" s="275"/>
      <c r="U112" s="275"/>
      <c r="V112" s="275"/>
      <c r="W112" s="346"/>
      <c r="X112" s="346"/>
      <c r="Y112" s="279"/>
      <c r="Z112" s="3"/>
      <c r="AA112" s="280"/>
      <c r="AB112" s="275"/>
      <c r="AC112" s="275"/>
      <c r="AD112" s="275"/>
      <c r="AE112" s="275"/>
      <c r="AF112" s="283"/>
      <c r="AG112" s="284"/>
      <c r="AH112" s="78">
        <v>46351</v>
      </c>
      <c r="AI112" s="78">
        <v>46584</v>
      </c>
      <c r="AJ112" s="342"/>
      <c r="AK112" s="343"/>
      <c r="AL112" s="343"/>
      <c r="AM112" s="288" t="e">
        <f>IF(DemandaEstrateg_[[#This Row],[Tipo de Requerimiento]]="Proyecto",(DemandaEstrateg_[[#This Row],[% Avance ejecutado]]-DemandaEstrateg_[[#This Row],[% Avance Planificado]])/DemandaEstrateg_[[#This Row],[% Avance Planificado]],"No aplica")</f>
        <v>#DIV/0!</v>
      </c>
      <c r="AN112" s="289" t="e">
        <f>IF(DemandaEstrateg_[[#This Row],[Tipo de Requerimiento]]="Proyecto",(DemandaEstrateg_[[#This Row],[% Avance ejecutado]]-DemandaEstrateg_[[#This Row],[% Avance Planificado]])/DemandaEstrateg_[[#This Row],[% Avance Planificado]],"No aplica")</f>
        <v>#DIV/0!</v>
      </c>
      <c r="AO112" s="117"/>
      <c r="AP112" s="117"/>
      <c r="AQ112" s="117"/>
      <c r="AR112" s="117"/>
      <c r="AS112" s="290" t="e">
        <f>VLOOKUP(DemandaEstrateg_[[#This Row],[Últ. Estado CQ 30.04]],#REF!,3,FALSE)</f>
        <v>#REF!</v>
      </c>
      <c r="AT112" s="246" t="s">
        <v>51</v>
      </c>
      <c r="AU112" s="306" t="s">
        <v>193</v>
      </c>
      <c r="AV112" s="137" t="s">
        <v>194</v>
      </c>
    </row>
    <row r="113" spans="1:48" s="36" customFormat="1" ht="12.75" x14ac:dyDescent="0.25">
      <c r="A113" s="3">
        <v>109</v>
      </c>
      <c r="B113" s="275"/>
      <c r="C113" s="275"/>
      <c r="D113" s="275"/>
      <c r="E113" s="3" t="s">
        <v>90</v>
      </c>
      <c r="F113" s="148" t="s">
        <v>538</v>
      </c>
      <c r="G113" s="277"/>
      <c r="H113" s="276" t="s">
        <v>302</v>
      </c>
      <c r="I113" s="276"/>
      <c r="J113" s="276"/>
      <c r="K113" s="278"/>
      <c r="L113" s="340"/>
      <c r="M113" s="341"/>
      <c r="N113" s="275"/>
      <c r="O113" s="275"/>
      <c r="P113" s="275"/>
      <c r="Q113" s="341"/>
      <c r="R113" s="275"/>
      <c r="S113" s="275"/>
      <c r="T113" s="275"/>
      <c r="U113" s="275"/>
      <c r="V113" s="275"/>
      <c r="W113" s="346"/>
      <c r="X113" s="346"/>
      <c r="Y113" s="279"/>
      <c r="Z113" s="3"/>
      <c r="AA113" s="280"/>
      <c r="AB113" s="275"/>
      <c r="AC113" s="275"/>
      <c r="AD113" s="275"/>
      <c r="AE113" s="275"/>
      <c r="AF113" s="283"/>
      <c r="AG113" s="284"/>
      <c r="AH113" s="78">
        <v>46351</v>
      </c>
      <c r="AI113" s="78">
        <v>46527</v>
      </c>
      <c r="AJ113" s="342"/>
      <c r="AK113" s="343"/>
      <c r="AL113" s="343"/>
      <c r="AM113" s="288" t="e">
        <f>IF(DemandaEstrateg_[[#This Row],[Tipo de Requerimiento]]="Proyecto",(DemandaEstrateg_[[#This Row],[% Avance ejecutado]]-DemandaEstrateg_[[#This Row],[% Avance Planificado]])/DemandaEstrateg_[[#This Row],[% Avance Planificado]],"No aplica")</f>
        <v>#DIV/0!</v>
      </c>
      <c r="AN113" s="289" t="e">
        <f>IF(DemandaEstrateg_[[#This Row],[Tipo de Requerimiento]]="Proyecto",(DemandaEstrateg_[[#This Row],[% Avance ejecutado]]-DemandaEstrateg_[[#This Row],[% Avance Planificado]])/DemandaEstrateg_[[#This Row],[% Avance Planificado]],"No aplica")</f>
        <v>#DIV/0!</v>
      </c>
      <c r="AO113" s="117"/>
      <c r="AP113" s="117"/>
      <c r="AQ113" s="117"/>
      <c r="AR113" s="117"/>
      <c r="AS113" s="290" t="e">
        <f>VLOOKUP(DemandaEstrateg_[[#This Row],[Últ. Estado CQ 30.04]],#REF!,3,FALSE)</f>
        <v>#REF!</v>
      </c>
      <c r="AT113" s="246" t="s">
        <v>51</v>
      </c>
      <c r="AU113" s="306" t="s">
        <v>193</v>
      </c>
      <c r="AV113" s="137" t="s">
        <v>194</v>
      </c>
    </row>
    <row r="114" spans="1:48" s="36" customFormat="1" ht="12.75" x14ac:dyDescent="0.25">
      <c r="A114" s="3">
        <v>110</v>
      </c>
      <c r="B114" s="275"/>
      <c r="C114" s="275"/>
      <c r="D114" s="275"/>
      <c r="E114" s="3" t="s">
        <v>90</v>
      </c>
      <c r="F114" s="254" t="s">
        <v>539</v>
      </c>
      <c r="G114" s="277"/>
      <c r="H114" s="276" t="s">
        <v>302</v>
      </c>
      <c r="I114" s="276"/>
      <c r="J114" s="276"/>
      <c r="K114" s="278"/>
      <c r="L114" s="340"/>
      <c r="M114" s="341"/>
      <c r="N114" s="275"/>
      <c r="O114" s="275"/>
      <c r="P114" s="275"/>
      <c r="Q114" s="341"/>
      <c r="R114" s="275"/>
      <c r="S114" s="275"/>
      <c r="T114" s="275"/>
      <c r="U114" s="275"/>
      <c r="V114" s="275"/>
      <c r="W114" s="346"/>
      <c r="X114" s="346"/>
      <c r="Y114" s="279"/>
      <c r="Z114" s="3"/>
      <c r="AA114" s="280"/>
      <c r="AB114" s="275"/>
      <c r="AC114" s="275"/>
      <c r="AD114" s="275"/>
      <c r="AE114" s="275"/>
      <c r="AF114" s="283"/>
      <c r="AG114" s="284"/>
      <c r="AH114" s="78">
        <v>46370</v>
      </c>
      <c r="AI114" s="78">
        <v>46479</v>
      </c>
      <c r="AJ114" s="342"/>
      <c r="AK114" s="343"/>
      <c r="AL114" s="343"/>
      <c r="AM114" s="288" t="e">
        <f>IF(DemandaEstrateg_[[#This Row],[Tipo de Requerimiento]]="Proyecto",(DemandaEstrateg_[[#This Row],[% Avance ejecutado]]-DemandaEstrateg_[[#This Row],[% Avance Planificado]])/DemandaEstrateg_[[#This Row],[% Avance Planificado]],"No aplica")</f>
        <v>#DIV/0!</v>
      </c>
      <c r="AN114" s="289" t="e">
        <f>IF(DemandaEstrateg_[[#This Row],[Tipo de Requerimiento]]="Proyecto",(DemandaEstrateg_[[#This Row],[% Avance ejecutado]]-DemandaEstrateg_[[#This Row],[% Avance Planificado]])/DemandaEstrateg_[[#This Row],[% Avance Planificado]],"No aplica")</f>
        <v>#DIV/0!</v>
      </c>
      <c r="AO114" s="117"/>
      <c r="AP114" s="117"/>
      <c r="AQ114" s="117"/>
      <c r="AR114" s="117"/>
      <c r="AS114" s="290" t="e">
        <f>VLOOKUP(DemandaEstrateg_[[#This Row],[Últ. Estado CQ 30.04]],#REF!,3,FALSE)</f>
        <v>#REF!</v>
      </c>
      <c r="AT114" s="246" t="s">
        <v>51</v>
      </c>
      <c r="AU114" s="306" t="s">
        <v>193</v>
      </c>
      <c r="AV114" s="137" t="s">
        <v>194</v>
      </c>
    </row>
    <row r="115" spans="1:48" s="36" customFormat="1" ht="12.75" x14ac:dyDescent="0.25">
      <c r="A115" s="3">
        <v>111</v>
      </c>
      <c r="B115" s="275"/>
      <c r="C115" s="275"/>
      <c r="D115" s="275"/>
      <c r="E115" s="3" t="s">
        <v>90</v>
      </c>
      <c r="F115" s="148" t="s">
        <v>540</v>
      </c>
      <c r="G115" s="180"/>
      <c r="H115" s="179" t="s">
        <v>302</v>
      </c>
      <c r="I115" s="179"/>
      <c r="J115" s="276"/>
      <c r="K115" s="181"/>
      <c r="L115" s="340"/>
      <c r="M115" s="341"/>
      <c r="N115" s="275"/>
      <c r="O115" s="275"/>
      <c r="P115" s="275"/>
      <c r="Q115" s="341"/>
      <c r="R115" s="275"/>
      <c r="S115" s="275"/>
      <c r="T115" s="275"/>
      <c r="U115" s="275"/>
      <c r="V115" s="275"/>
      <c r="W115" s="347"/>
      <c r="X115" s="346"/>
      <c r="Y115" s="279"/>
      <c r="Z115" s="3"/>
      <c r="AA115" s="183"/>
      <c r="AB115" s="178"/>
      <c r="AC115" s="178"/>
      <c r="AD115" s="178"/>
      <c r="AE115" s="178"/>
      <c r="AF115" s="185"/>
      <c r="AG115" s="186"/>
      <c r="AH115" s="78">
        <v>46290</v>
      </c>
      <c r="AI115" s="78">
        <v>46400</v>
      </c>
      <c r="AJ115" s="344"/>
      <c r="AK115" s="345"/>
      <c r="AL115" s="345"/>
      <c r="AM115" s="188" t="e">
        <f>IF(DemandaEstrateg_[[#This Row],[Tipo de Requerimiento]]="Proyecto",(DemandaEstrateg_[[#This Row],[% Avance ejecutado]]-DemandaEstrateg_[[#This Row],[% Avance Planificado]])/DemandaEstrateg_[[#This Row],[% Avance Planificado]],"No aplica")</f>
        <v>#DIV/0!</v>
      </c>
      <c r="AN115" s="189" t="e">
        <f>IF(DemandaEstrateg_[[#This Row],[Tipo de Requerimiento]]="Proyecto",(DemandaEstrateg_[[#This Row],[% Avance ejecutado]]-DemandaEstrateg_[[#This Row],[% Avance Planificado]])/DemandaEstrateg_[[#This Row],[% Avance Planificado]],"No aplica")</f>
        <v>#DIV/0!</v>
      </c>
      <c r="AO115" s="190"/>
      <c r="AP115" s="190"/>
      <c r="AQ115" s="190"/>
      <c r="AR115" s="190"/>
      <c r="AS115" s="251" t="e">
        <f>VLOOKUP(DemandaEstrateg_[[#This Row],[Últ. Estado CQ 30.04]],#REF!,3,FALSE)</f>
        <v>#REF!</v>
      </c>
      <c r="AT115" s="246" t="s">
        <v>51</v>
      </c>
      <c r="AU115" s="306" t="s">
        <v>193</v>
      </c>
      <c r="AV115" s="137" t="s">
        <v>194</v>
      </c>
    </row>
    <row r="116" spans="1:48" s="36" customFormat="1" ht="12.75" x14ac:dyDescent="0.2">
      <c r="A116" s="5"/>
      <c r="E116" s="5"/>
      <c r="F116" s="132"/>
      <c r="G116" s="132"/>
      <c r="H116" s="9"/>
      <c r="I116" s="9"/>
      <c r="J116" s="9"/>
      <c r="K116" s="9"/>
      <c r="L116" s="44"/>
      <c r="Q116" s="5"/>
      <c r="AB116" s="9"/>
      <c r="AC116" s="9"/>
      <c r="AG116" s="5"/>
      <c r="AR116" s="38"/>
      <c r="AU116" s="45"/>
    </row>
    <row r="117" spans="1:48" s="36" customFormat="1" ht="12.75" x14ac:dyDescent="0.2">
      <c r="A117" s="5"/>
      <c r="E117" s="5"/>
      <c r="F117" s="132"/>
      <c r="G117" s="132"/>
      <c r="H117" s="9"/>
      <c r="I117" s="9"/>
      <c r="J117" s="9"/>
      <c r="K117" s="9"/>
      <c r="L117" s="44"/>
      <c r="Q117" s="5"/>
      <c r="AB117" s="9"/>
      <c r="AC117" s="9"/>
      <c r="AG117" s="5"/>
      <c r="AR117" s="38"/>
      <c r="AU117" s="45"/>
    </row>
    <row r="118" spans="1:48" s="36" customFormat="1" ht="12.75" x14ac:dyDescent="0.2">
      <c r="A118" s="5"/>
      <c r="E118" s="5"/>
      <c r="F118" s="132"/>
      <c r="G118" s="132"/>
      <c r="H118" s="9"/>
      <c r="I118" s="9"/>
      <c r="J118" s="9"/>
      <c r="K118" s="9"/>
      <c r="L118" s="44"/>
      <c r="Q118" s="5"/>
      <c r="AB118" s="9"/>
      <c r="AC118" s="9"/>
      <c r="AG118" s="5"/>
      <c r="AR118" s="38"/>
      <c r="AU118" s="45"/>
    </row>
    <row r="119" spans="1:48" s="36" customFormat="1" ht="12.75" x14ac:dyDescent="0.2">
      <c r="A119" s="5"/>
      <c r="E119" s="5"/>
      <c r="F119" s="132"/>
      <c r="G119" s="132"/>
      <c r="H119" s="9"/>
      <c r="I119" s="9"/>
      <c r="J119" s="9"/>
      <c r="K119" s="9"/>
      <c r="L119" s="44"/>
      <c r="Q119" s="5"/>
      <c r="AB119" s="9"/>
      <c r="AC119" s="9"/>
      <c r="AG119" s="5"/>
      <c r="AR119" s="38"/>
      <c r="AU119" s="45"/>
    </row>
    <row r="120" spans="1:48" s="36" customFormat="1" ht="12.75" x14ac:dyDescent="0.2">
      <c r="A120" s="5"/>
      <c r="E120" s="5"/>
      <c r="F120" s="132"/>
      <c r="G120" s="132"/>
      <c r="H120" s="9"/>
      <c r="I120" s="9"/>
      <c r="J120" s="9"/>
      <c r="K120" s="9"/>
      <c r="L120" s="44"/>
      <c r="Q120" s="5"/>
      <c r="AB120" s="9"/>
      <c r="AC120" s="9"/>
      <c r="AG120" s="5"/>
      <c r="AR120" s="38"/>
      <c r="AU120" s="45"/>
    </row>
    <row r="121" spans="1:48" s="36" customFormat="1" ht="12.75" x14ac:dyDescent="0.2">
      <c r="A121" s="5"/>
      <c r="E121" s="5"/>
      <c r="F121" s="132"/>
      <c r="G121" s="132"/>
      <c r="H121" s="9"/>
      <c r="I121" s="9"/>
      <c r="J121" s="9"/>
      <c r="K121" s="9"/>
      <c r="L121" s="44"/>
      <c r="Q121" s="5"/>
      <c r="AB121" s="9"/>
      <c r="AC121" s="9"/>
      <c r="AG121" s="5"/>
      <c r="AR121" s="38"/>
      <c r="AU121" s="45"/>
    </row>
    <row r="122" spans="1:48" s="36" customFormat="1" ht="12.75" x14ac:dyDescent="0.2">
      <c r="A122" s="5"/>
      <c r="E122" s="5"/>
      <c r="F122" s="132"/>
      <c r="G122" s="132"/>
      <c r="H122" s="9"/>
      <c r="I122" s="9"/>
      <c r="J122" s="9"/>
      <c r="K122" s="9"/>
      <c r="L122" s="44"/>
      <c r="Q122" s="5"/>
      <c r="AB122" s="9"/>
      <c r="AC122" s="9"/>
      <c r="AG122" s="5"/>
      <c r="AR122" s="38"/>
      <c r="AU122" s="45"/>
    </row>
    <row r="123" spans="1:48" s="36" customFormat="1" ht="12.75" x14ac:dyDescent="0.2">
      <c r="A123" s="5"/>
      <c r="E123" s="5"/>
      <c r="F123" s="132"/>
      <c r="G123" s="132"/>
      <c r="H123" s="9"/>
      <c r="I123" s="9"/>
      <c r="J123" s="9"/>
      <c r="K123" s="9"/>
      <c r="L123" s="44"/>
      <c r="Q123" s="5"/>
      <c r="AB123" s="9"/>
      <c r="AC123" s="9"/>
      <c r="AG123" s="5"/>
      <c r="AR123" s="38"/>
      <c r="AU123" s="45"/>
    </row>
    <row r="124" spans="1:48" s="36" customFormat="1" ht="12.75" x14ac:dyDescent="0.2">
      <c r="A124" s="5"/>
      <c r="E124" s="5"/>
      <c r="F124" s="132"/>
      <c r="G124" s="132"/>
      <c r="H124" s="9"/>
      <c r="I124" s="9"/>
      <c r="J124" s="9"/>
      <c r="K124" s="9"/>
      <c r="L124" s="44"/>
      <c r="Q124" s="5"/>
      <c r="AB124" s="9"/>
      <c r="AC124" s="9"/>
      <c r="AG124" s="5"/>
      <c r="AR124" s="38"/>
      <c r="AU124" s="45"/>
    </row>
    <row r="125" spans="1:48" s="36" customFormat="1" ht="12.75" x14ac:dyDescent="0.2">
      <c r="A125" s="5"/>
      <c r="E125" s="5"/>
      <c r="F125" s="132"/>
      <c r="G125" s="132"/>
      <c r="H125" s="9"/>
      <c r="I125" s="9"/>
      <c r="J125" s="9"/>
      <c r="K125" s="9"/>
      <c r="L125" s="44"/>
      <c r="Q125" s="5"/>
      <c r="AB125" s="9"/>
      <c r="AC125" s="9"/>
      <c r="AG125" s="5"/>
      <c r="AR125" s="38"/>
      <c r="AU125" s="45"/>
    </row>
    <row r="126" spans="1:48" s="36" customFormat="1" ht="12.75" x14ac:dyDescent="0.2">
      <c r="A126" s="5"/>
      <c r="E126" s="5"/>
      <c r="F126" s="132"/>
      <c r="G126" s="132"/>
      <c r="H126" s="9"/>
      <c r="I126" s="9"/>
      <c r="J126" s="9"/>
      <c r="K126" s="9"/>
      <c r="L126" s="44"/>
      <c r="Q126" s="5"/>
      <c r="AB126" s="9"/>
      <c r="AC126" s="9"/>
      <c r="AG126" s="5"/>
      <c r="AR126" s="38"/>
      <c r="AU126" s="45"/>
    </row>
    <row r="127" spans="1:48" s="36" customFormat="1" ht="12.75" x14ac:dyDescent="0.2">
      <c r="A127" s="5"/>
      <c r="E127" s="5"/>
      <c r="F127" s="132"/>
      <c r="G127" s="132"/>
      <c r="H127" s="9"/>
      <c r="I127" s="9"/>
      <c r="J127" s="9"/>
      <c r="K127" s="9"/>
      <c r="L127" s="44"/>
      <c r="Q127" s="5"/>
      <c r="AB127" s="9"/>
      <c r="AC127" s="9"/>
      <c r="AG127" s="5"/>
      <c r="AR127" s="38"/>
      <c r="AU127" s="45"/>
    </row>
    <row r="128" spans="1:48" s="36" customFormat="1" ht="12.75" x14ac:dyDescent="0.2">
      <c r="A128" s="5"/>
      <c r="E128" s="5"/>
      <c r="F128" s="132"/>
      <c r="G128" s="132"/>
      <c r="H128" s="9"/>
      <c r="I128" s="9"/>
      <c r="J128" s="9"/>
      <c r="K128" s="9"/>
      <c r="L128" s="44"/>
      <c r="Q128" s="5"/>
      <c r="AB128" s="9"/>
      <c r="AC128" s="9"/>
      <c r="AG128" s="5"/>
      <c r="AR128" s="38"/>
      <c r="AU128" s="45"/>
    </row>
    <row r="129" spans="1:47" s="36" customFormat="1" ht="12.75" x14ac:dyDescent="0.2">
      <c r="A129" s="5"/>
      <c r="E129" s="5"/>
      <c r="F129" s="132"/>
      <c r="G129" s="132"/>
      <c r="H129" s="9"/>
      <c r="I129" s="9"/>
      <c r="J129" s="9"/>
      <c r="K129" s="9"/>
      <c r="L129" s="44"/>
      <c r="Q129" s="5"/>
      <c r="AB129" s="9"/>
      <c r="AC129" s="9"/>
      <c r="AG129" s="5"/>
      <c r="AR129" s="38"/>
      <c r="AU129" s="45"/>
    </row>
    <row r="130" spans="1:47" s="36" customFormat="1" ht="12.75" x14ac:dyDescent="0.2">
      <c r="A130" s="5"/>
      <c r="E130" s="5"/>
      <c r="F130" s="132"/>
      <c r="G130" s="132"/>
      <c r="H130" s="9"/>
      <c r="I130" s="9"/>
      <c r="J130" s="9"/>
      <c r="K130" s="9"/>
      <c r="L130" s="44"/>
      <c r="Q130" s="5"/>
      <c r="AB130" s="9"/>
      <c r="AC130" s="9"/>
      <c r="AG130" s="5"/>
      <c r="AR130" s="38"/>
      <c r="AU130" s="45"/>
    </row>
    <row r="131" spans="1:47" s="36" customFormat="1" ht="12.75" x14ac:dyDescent="0.2">
      <c r="A131" s="5"/>
      <c r="E131" s="5"/>
      <c r="F131" s="132"/>
      <c r="G131" s="132"/>
      <c r="H131" s="9"/>
      <c r="I131" s="9"/>
      <c r="J131" s="9"/>
      <c r="K131" s="9"/>
      <c r="L131" s="44"/>
      <c r="Q131" s="5"/>
      <c r="AB131" s="9"/>
      <c r="AC131" s="9"/>
      <c r="AG131" s="5"/>
      <c r="AR131" s="38"/>
      <c r="AU131" s="45"/>
    </row>
    <row r="132" spans="1:47" s="36" customFormat="1" ht="12.75" x14ac:dyDescent="0.2">
      <c r="A132" s="5"/>
      <c r="E132" s="5"/>
      <c r="F132" s="132"/>
      <c r="G132" s="132"/>
      <c r="H132" s="9"/>
      <c r="I132" s="9"/>
      <c r="J132" s="9"/>
      <c r="K132" s="9"/>
      <c r="L132" s="44"/>
      <c r="Q132" s="5"/>
      <c r="AB132" s="9"/>
      <c r="AC132" s="9"/>
      <c r="AG132" s="5"/>
      <c r="AR132" s="38"/>
      <c r="AU132" s="45"/>
    </row>
    <row r="133" spans="1:47" s="36" customFormat="1" ht="12.75" x14ac:dyDescent="0.2">
      <c r="A133" s="5"/>
      <c r="E133" s="5"/>
      <c r="F133" s="132"/>
      <c r="G133" s="132"/>
      <c r="H133" s="9"/>
      <c r="I133" s="9"/>
      <c r="J133" s="9"/>
      <c r="K133" s="9"/>
      <c r="L133" s="44"/>
      <c r="Q133" s="5"/>
      <c r="AB133" s="9"/>
      <c r="AC133" s="9"/>
      <c r="AG133" s="5"/>
      <c r="AR133" s="38"/>
      <c r="AU133" s="45"/>
    </row>
    <row r="134" spans="1:47" s="36" customFormat="1" ht="12.75" x14ac:dyDescent="0.2">
      <c r="A134" s="5"/>
      <c r="E134" s="5"/>
      <c r="F134" s="132"/>
      <c r="G134" s="132"/>
      <c r="H134" s="9"/>
      <c r="I134" s="9"/>
      <c r="J134" s="9"/>
      <c r="K134" s="9"/>
      <c r="L134" s="44"/>
      <c r="Q134" s="5"/>
      <c r="AB134" s="9"/>
      <c r="AC134" s="9"/>
      <c r="AG134" s="5"/>
      <c r="AR134" s="38"/>
      <c r="AU134" s="45"/>
    </row>
    <row r="135" spans="1:47" s="36" customFormat="1" ht="12.75" x14ac:dyDescent="0.2">
      <c r="A135" s="5"/>
      <c r="E135" s="5"/>
      <c r="F135" s="132"/>
      <c r="G135" s="132"/>
      <c r="H135" s="9"/>
      <c r="I135" s="9"/>
      <c r="J135" s="9"/>
      <c r="K135" s="9"/>
      <c r="L135" s="44"/>
      <c r="Q135" s="5"/>
      <c r="AB135" s="9"/>
      <c r="AC135" s="9"/>
      <c r="AG135" s="5"/>
      <c r="AR135" s="38"/>
      <c r="AU135" s="45"/>
    </row>
    <row r="136" spans="1:47" s="36" customFormat="1" ht="12.75" x14ac:dyDescent="0.2">
      <c r="A136" s="5"/>
      <c r="E136" s="5"/>
      <c r="F136" s="132"/>
      <c r="G136" s="132"/>
      <c r="H136" s="9"/>
      <c r="I136" s="9"/>
      <c r="J136" s="9"/>
      <c r="K136" s="9"/>
      <c r="L136" s="44"/>
      <c r="Q136" s="5"/>
      <c r="AB136" s="9"/>
      <c r="AC136" s="9"/>
      <c r="AG136" s="5"/>
      <c r="AR136" s="38"/>
      <c r="AU136" s="45"/>
    </row>
    <row r="137" spans="1:47" s="36" customFormat="1" ht="12.75" x14ac:dyDescent="0.2">
      <c r="A137" s="5"/>
      <c r="E137" s="5"/>
      <c r="F137" s="132"/>
      <c r="G137" s="132"/>
      <c r="H137" s="9"/>
      <c r="I137" s="9"/>
      <c r="J137" s="9"/>
      <c r="K137" s="9"/>
      <c r="L137" s="44"/>
      <c r="Q137" s="5"/>
      <c r="AB137" s="9"/>
      <c r="AC137" s="9"/>
      <c r="AG137" s="5"/>
      <c r="AR137" s="38"/>
      <c r="AU137" s="45"/>
    </row>
    <row r="138" spans="1:47" s="36" customFormat="1" ht="12.75" x14ac:dyDescent="0.2">
      <c r="A138" s="5"/>
      <c r="E138" s="5"/>
      <c r="F138" s="132"/>
      <c r="G138" s="132"/>
      <c r="H138" s="9"/>
      <c r="I138" s="9"/>
      <c r="J138" s="9"/>
      <c r="K138" s="9"/>
      <c r="L138" s="44"/>
      <c r="Q138" s="5"/>
      <c r="AB138" s="9"/>
      <c r="AC138" s="9"/>
      <c r="AG138" s="5"/>
      <c r="AR138" s="38"/>
      <c r="AU138" s="45"/>
    </row>
    <row r="139" spans="1:47" s="36" customFormat="1" ht="12.75" x14ac:dyDescent="0.2">
      <c r="A139" s="5"/>
      <c r="E139" s="5"/>
      <c r="F139" s="132"/>
      <c r="G139" s="132"/>
      <c r="H139" s="9"/>
      <c r="I139" s="9"/>
      <c r="J139" s="9"/>
      <c r="K139" s="9"/>
      <c r="L139" s="44"/>
      <c r="Q139" s="5"/>
      <c r="AB139" s="9"/>
      <c r="AC139" s="9"/>
      <c r="AG139" s="5"/>
      <c r="AR139" s="38"/>
      <c r="AU139" s="45"/>
    </row>
    <row r="140" spans="1:47" s="36" customFormat="1" ht="12.75" x14ac:dyDescent="0.2">
      <c r="A140" s="5"/>
      <c r="E140" s="5"/>
      <c r="F140" s="132"/>
      <c r="G140" s="132"/>
      <c r="H140" s="9"/>
      <c r="I140" s="9"/>
      <c r="J140" s="9"/>
      <c r="K140" s="9"/>
      <c r="L140" s="44"/>
      <c r="Q140" s="5"/>
      <c r="AB140" s="9"/>
      <c r="AC140" s="9"/>
      <c r="AG140" s="5"/>
      <c r="AR140" s="38"/>
      <c r="AU140" s="45"/>
    </row>
    <row r="141" spans="1:47" s="36" customFormat="1" ht="12.75" x14ac:dyDescent="0.2">
      <c r="A141" s="5"/>
      <c r="E141" s="5"/>
      <c r="F141" s="132"/>
      <c r="G141" s="132"/>
      <c r="H141" s="9"/>
      <c r="I141" s="9"/>
      <c r="J141" s="9"/>
      <c r="K141" s="9"/>
      <c r="L141" s="44"/>
      <c r="Q141" s="5"/>
      <c r="AB141" s="9"/>
      <c r="AC141" s="9"/>
      <c r="AG141" s="5"/>
      <c r="AR141" s="38"/>
      <c r="AU141" s="45"/>
    </row>
    <row r="142" spans="1:47" s="36" customFormat="1" ht="12.75" x14ac:dyDescent="0.2">
      <c r="A142" s="5"/>
      <c r="E142" s="5"/>
      <c r="F142" s="132"/>
      <c r="G142" s="132"/>
      <c r="H142" s="9"/>
      <c r="I142" s="9"/>
      <c r="J142" s="9"/>
      <c r="K142" s="9"/>
      <c r="L142" s="44"/>
      <c r="Q142" s="5"/>
      <c r="AB142" s="9"/>
      <c r="AC142" s="9"/>
      <c r="AG142" s="5"/>
      <c r="AR142" s="38"/>
      <c r="AU142" s="45"/>
    </row>
    <row r="143" spans="1:47" s="36" customFormat="1" ht="12.75" x14ac:dyDescent="0.2">
      <c r="A143" s="5"/>
      <c r="E143" s="5"/>
      <c r="F143" s="132"/>
      <c r="G143" s="132"/>
      <c r="H143" s="9"/>
      <c r="I143" s="9"/>
      <c r="J143" s="9"/>
      <c r="K143" s="9"/>
      <c r="L143" s="44"/>
      <c r="Q143" s="5"/>
      <c r="AB143" s="9"/>
      <c r="AC143" s="9"/>
      <c r="AG143" s="5"/>
      <c r="AR143" s="38"/>
      <c r="AU143" s="45"/>
    </row>
    <row r="144" spans="1:47" s="36" customFormat="1" ht="12.75" x14ac:dyDescent="0.2">
      <c r="A144" s="5"/>
      <c r="E144" s="5"/>
      <c r="F144" s="132"/>
      <c r="G144" s="132"/>
      <c r="H144" s="9"/>
      <c r="I144" s="9"/>
      <c r="J144" s="9"/>
      <c r="K144" s="9"/>
      <c r="L144" s="44"/>
      <c r="Q144" s="5"/>
      <c r="AB144" s="9"/>
      <c r="AC144" s="9"/>
      <c r="AG144" s="5"/>
      <c r="AR144" s="38"/>
      <c r="AU144" s="45"/>
    </row>
    <row r="145" spans="1:47" s="36" customFormat="1" ht="12.75" x14ac:dyDescent="0.2">
      <c r="A145" s="5"/>
      <c r="E145" s="5"/>
      <c r="F145" s="132"/>
      <c r="G145" s="132"/>
      <c r="H145" s="9"/>
      <c r="I145" s="9"/>
      <c r="J145" s="9"/>
      <c r="K145" s="9"/>
      <c r="L145" s="44"/>
      <c r="Q145" s="5"/>
      <c r="AB145" s="9"/>
      <c r="AC145" s="9"/>
      <c r="AG145" s="5"/>
      <c r="AR145" s="38"/>
      <c r="AU145" s="45"/>
    </row>
    <row r="146" spans="1:47" s="36" customFormat="1" ht="12.75" x14ac:dyDescent="0.2">
      <c r="A146" s="5"/>
      <c r="E146" s="5"/>
      <c r="F146" s="132"/>
      <c r="G146" s="132"/>
      <c r="H146" s="9"/>
      <c r="I146" s="9"/>
      <c r="J146" s="9"/>
      <c r="K146" s="9"/>
      <c r="L146" s="44"/>
      <c r="Q146" s="5"/>
      <c r="AB146" s="9"/>
      <c r="AC146" s="9"/>
      <c r="AG146" s="5"/>
      <c r="AR146" s="38"/>
      <c r="AU146" s="45"/>
    </row>
    <row r="147" spans="1:47" s="36" customFormat="1" ht="12.75" x14ac:dyDescent="0.2">
      <c r="A147" s="5"/>
      <c r="E147" s="5"/>
      <c r="F147" s="132"/>
      <c r="G147" s="132"/>
      <c r="H147" s="9"/>
      <c r="I147" s="9"/>
      <c r="J147" s="9"/>
      <c r="K147" s="9"/>
      <c r="L147" s="44"/>
      <c r="Q147" s="5"/>
      <c r="AB147" s="9"/>
      <c r="AC147" s="9"/>
      <c r="AG147" s="5"/>
      <c r="AR147" s="38"/>
      <c r="AU147" s="45"/>
    </row>
    <row r="148" spans="1:47" s="36" customFormat="1" ht="12.75" x14ac:dyDescent="0.2">
      <c r="A148" s="5"/>
      <c r="E148" s="5"/>
      <c r="F148" s="132"/>
      <c r="G148" s="132"/>
      <c r="H148" s="9"/>
      <c r="I148" s="9"/>
      <c r="J148" s="9"/>
      <c r="K148" s="9"/>
      <c r="L148" s="44"/>
      <c r="Q148" s="5"/>
      <c r="AB148" s="9"/>
      <c r="AC148" s="9"/>
      <c r="AG148" s="5"/>
      <c r="AR148" s="38"/>
      <c r="AU148" s="45"/>
    </row>
    <row r="149" spans="1:47" s="36" customFormat="1" ht="12.75" x14ac:dyDescent="0.2">
      <c r="A149" s="5"/>
      <c r="E149" s="5"/>
      <c r="F149" s="132"/>
      <c r="G149" s="132"/>
      <c r="H149" s="9"/>
      <c r="I149" s="9"/>
      <c r="J149" s="9"/>
      <c r="K149" s="9"/>
      <c r="L149" s="44"/>
      <c r="Q149" s="5"/>
      <c r="AB149" s="9"/>
      <c r="AC149" s="9"/>
      <c r="AG149" s="5"/>
      <c r="AR149" s="38"/>
      <c r="AU149" s="45"/>
    </row>
    <row r="150" spans="1:47" s="36" customFormat="1" ht="12.75" x14ac:dyDescent="0.2">
      <c r="A150" s="5"/>
      <c r="E150" s="5"/>
      <c r="F150" s="132"/>
      <c r="G150" s="132"/>
      <c r="H150" s="9"/>
      <c r="I150" s="9"/>
      <c r="J150" s="9"/>
      <c r="K150" s="9"/>
      <c r="L150" s="44"/>
      <c r="Q150" s="5"/>
      <c r="AB150" s="9"/>
      <c r="AC150" s="9"/>
      <c r="AG150" s="5"/>
      <c r="AR150" s="38"/>
      <c r="AU150" s="45"/>
    </row>
    <row r="151" spans="1:47" s="36" customFormat="1" ht="12.75" x14ac:dyDescent="0.2">
      <c r="A151" s="5"/>
      <c r="E151" s="5"/>
      <c r="F151" s="132"/>
      <c r="G151" s="132"/>
      <c r="H151" s="9"/>
      <c r="I151" s="9"/>
      <c r="J151" s="9"/>
      <c r="K151" s="9"/>
      <c r="L151" s="44"/>
      <c r="Q151" s="5"/>
      <c r="AB151" s="9"/>
      <c r="AC151" s="9"/>
      <c r="AG151" s="5"/>
      <c r="AR151" s="38"/>
      <c r="AU151" s="45"/>
    </row>
    <row r="152" spans="1:47" s="36" customFormat="1" ht="12.75" x14ac:dyDescent="0.2">
      <c r="A152" s="5"/>
      <c r="E152" s="5"/>
      <c r="F152" s="132"/>
      <c r="G152" s="132"/>
      <c r="H152" s="9"/>
      <c r="I152" s="9"/>
      <c r="J152" s="9"/>
      <c r="K152" s="9"/>
      <c r="L152" s="44"/>
      <c r="Q152" s="5"/>
      <c r="AB152" s="9"/>
      <c r="AC152" s="9"/>
      <c r="AG152" s="5"/>
      <c r="AR152" s="38"/>
      <c r="AU152" s="45"/>
    </row>
    <row r="153" spans="1:47" s="36" customFormat="1" ht="12.75" x14ac:dyDescent="0.2">
      <c r="A153" s="5"/>
      <c r="E153" s="5"/>
      <c r="F153" s="132"/>
      <c r="G153" s="132"/>
      <c r="H153" s="9"/>
      <c r="I153" s="9"/>
      <c r="J153" s="9"/>
      <c r="K153" s="9"/>
      <c r="L153" s="44"/>
      <c r="Q153" s="5"/>
      <c r="AB153" s="9"/>
      <c r="AC153" s="9"/>
      <c r="AG153" s="5"/>
      <c r="AR153" s="38"/>
      <c r="AU153" s="45"/>
    </row>
    <row r="154" spans="1:47" s="36" customFormat="1" ht="12.75" x14ac:dyDescent="0.2">
      <c r="A154" s="5"/>
      <c r="E154" s="5"/>
      <c r="F154" s="132"/>
      <c r="G154" s="132"/>
      <c r="H154" s="9"/>
      <c r="I154" s="9"/>
      <c r="J154" s="9"/>
      <c r="K154" s="9"/>
      <c r="L154" s="44"/>
      <c r="Q154" s="5"/>
      <c r="AB154" s="9"/>
      <c r="AC154" s="9"/>
      <c r="AG154" s="5"/>
      <c r="AR154" s="38"/>
      <c r="AU154" s="45"/>
    </row>
    <row r="155" spans="1:47" s="36" customFormat="1" ht="12.75" x14ac:dyDescent="0.2">
      <c r="A155" s="5"/>
      <c r="E155" s="5"/>
      <c r="F155" s="132"/>
      <c r="G155" s="132"/>
      <c r="H155" s="9"/>
      <c r="I155" s="9"/>
      <c r="J155" s="9"/>
      <c r="K155" s="9"/>
      <c r="L155" s="44"/>
      <c r="Q155" s="5"/>
      <c r="AB155" s="9"/>
      <c r="AC155" s="9"/>
      <c r="AG155" s="5"/>
      <c r="AR155" s="38"/>
      <c r="AU155" s="45"/>
    </row>
    <row r="156" spans="1:47" s="36" customFormat="1" ht="12.75" x14ac:dyDescent="0.2">
      <c r="A156" s="5"/>
      <c r="E156" s="5"/>
      <c r="F156" s="132"/>
      <c r="G156" s="132"/>
      <c r="H156" s="9"/>
      <c r="I156" s="9"/>
      <c r="J156" s="9"/>
      <c r="K156" s="9"/>
      <c r="L156" s="44"/>
      <c r="Q156" s="5"/>
      <c r="AB156" s="9"/>
      <c r="AC156" s="9"/>
      <c r="AG156" s="5"/>
      <c r="AR156" s="38"/>
      <c r="AU156" s="45"/>
    </row>
    <row r="157" spans="1:47" s="36" customFormat="1" ht="12.75" x14ac:dyDescent="0.2">
      <c r="A157" s="5"/>
      <c r="E157" s="5"/>
      <c r="F157" s="132"/>
      <c r="G157" s="132"/>
      <c r="H157" s="9"/>
      <c r="I157" s="9"/>
      <c r="J157" s="9"/>
      <c r="K157" s="9"/>
      <c r="L157" s="44"/>
      <c r="Q157" s="5"/>
      <c r="AB157" s="9"/>
      <c r="AC157" s="9"/>
      <c r="AG157" s="5"/>
      <c r="AR157" s="38"/>
      <c r="AU157" s="45"/>
    </row>
    <row r="158" spans="1:47" s="36" customFormat="1" ht="12.75" x14ac:dyDescent="0.2">
      <c r="A158" s="5"/>
      <c r="E158" s="5"/>
      <c r="F158" s="132"/>
      <c r="G158" s="132"/>
      <c r="H158" s="9"/>
      <c r="I158" s="9"/>
      <c r="J158" s="9"/>
      <c r="K158" s="9"/>
      <c r="L158" s="44"/>
      <c r="Q158" s="5"/>
      <c r="AB158" s="9"/>
      <c r="AC158" s="9"/>
      <c r="AG158" s="5"/>
      <c r="AR158" s="38"/>
      <c r="AU158" s="45"/>
    </row>
    <row r="159" spans="1:47" s="36" customFormat="1" ht="12.75" x14ac:dyDescent="0.2">
      <c r="A159" s="5"/>
      <c r="E159" s="5"/>
      <c r="F159" s="132"/>
      <c r="G159" s="132"/>
      <c r="H159" s="9"/>
      <c r="I159" s="9"/>
      <c r="J159" s="9"/>
      <c r="K159" s="9"/>
      <c r="L159" s="44"/>
      <c r="Q159" s="5"/>
      <c r="AB159" s="9"/>
      <c r="AC159" s="9"/>
      <c r="AG159" s="5"/>
      <c r="AR159" s="38"/>
      <c r="AU159" s="45"/>
    </row>
    <row r="160" spans="1:47" s="36" customFormat="1" ht="12.75" x14ac:dyDescent="0.2">
      <c r="A160" s="5"/>
      <c r="E160" s="5"/>
      <c r="F160" s="132"/>
      <c r="G160" s="132"/>
      <c r="H160" s="9"/>
      <c r="I160" s="9"/>
      <c r="J160" s="9"/>
      <c r="K160" s="9"/>
      <c r="L160" s="44"/>
      <c r="Q160" s="5"/>
      <c r="AB160" s="9"/>
      <c r="AC160" s="9"/>
      <c r="AG160" s="5"/>
      <c r="AR160" s="38"/>
      <c r="AU160" s="45"/>
    </row>
    <row r="161" spans="1:47" s="36" customFormat="1" ht="12.75" x14ac:dyDescent="0.2">
      <c r="A161" s="5"/>
      <c r="E161" s="5"/>
      <c r="F161" s="132"/>
      <c r="G161" s="132"/>
      <c r="H161" s="9"/>
      <c r="I161" s="9"/>
      <c r="J161" s="9"/>
      <c r="K161" s="9"/>
      <c r="L161" s="44"/>
      <c r="Q161" s="5"/>
      <c r="AB161" s="9"/>
      <c r="AC161" s="9"/>
      <c r="AG161" s="5"/>
      <c r="AR161" s="38"/>
      <c r="AU161" s="45"/>
    </row>
    <row r="162" spans="1:47" s="36" customFormat="1" ht="12.75" x14ac:dyDescent="0.2">
      <c r="A162" s="5"/>
      <c r="E162" s="5"/>
      <c r="F162" s="132"/>
      <c r="G162" s="132"/>
      <c r="H162" s="9"/>
      <c r="I162" s="9"/>
      <c r="J162" s="9"/>
      <c r="K162" s="9"/>
      <c r="L162" s="44"/>
      <c r="Q162" s="5"/>
      <c r="AB162" s="9"/>
      <c r="AC162" s="9"/>
      <c r="AG162" s="5"/>
      <c r="AR162" s="38"/>
      <c r="AU162" s="45"/>
    </row>
    <row r="163" spans="1:47" s="36" customFormat="1" ht="12.75" x14ac:dyDescent="0.2">
      <c r="A163" s="5"/>
      <c r="E163" s="5"/>
      <c r="F163" s="132"/>
      <c r="G163" s="132"/>
      <c r="H163" s="9"/>
      <c r="I163" s="9"/>
      <c r="J163" s="9"/>
      <c r="K163" s="9"/>
      <c r="L163" s="44"/>
      <c r="Q163" s="5"/>
      <c r="AB163" s="9"/>
      <c r="AC163" s="9"/>
      <c r="AG163" s="5"/>
      <c r="AR163" s="38"/>
      <c r="AU163" s="45"/>
    </row>
    <row r="164" spans="1:47" s="36" customFormat="1" ht="12.75" x14ac:dyDescent="0.2">
      <c r="A164" s="5"/>
      <c r="E164" s="5"/>
      <c r="F164" s="132"/>
      <c r="G164" s="132"/>
      <c r="H164" s="9"/>
      <c r="I164" s="9"/>
      <c r="J164" s="9"/>
      <c r="K164" s="9"/>
      <c r="L164" s="44"/>
      <c r="Q164" s="5"/>
      <c r="AB164" s="9"/>
      <c r="AC164" s="9"/>
      <c r="AG164" s="5"/>
      <c r="AR164" s="38"/>
      <c r="AU164" s="45"/>
    </row>
    <row r="165" spans="1:47" s="36" customFormat="1" ht="12.75" x14ac:dyDescent="0.2">
      <c r="A165" s="5"/>
      <c r="E165" s="5"/>
      <c r="F165" s="132"/>
      <c r="G165" s="132"/>
      <c r="H165" s="9"/>
      <c r="I165" s="9"/>
      <c r="J165" s="9"/>
      <c r="K165" s="9"/>
      <c r="L165" s="44"/>
      <c r="Q165" s="5"/>
      <c r="AB165" s="9"/>
      <c r="AC165" s="9"/>
      <c r="AG165" s="5"/>
      <c r="AR165" s="38"/>
      <c r="AU165" s="45"/>
    </row>
    <row r="166" spans="1:47" s="36" customFormat="1" ht="12.75" x14ac:dyDescent="0.2">
      <c r="A166" s="5"/>
      <c r="E166" s="5"/>
      <c r="F166" s="132"/>
      <c r="G166" s="132"/>
      <c r="H166" s="9"/>
      <c r="I166" s="9"/>
      <c r="J166" s="9"/>
      <c r="K166" s="9"/>
      <c r="L166" s="44"/>
      <c r="Q166" s="5"/>
      <c r="AB166" s="9"/>
      <c r="AC166" s="9"/>
      <c r="AG166" s="5"/>
      <c r="AR166" s="38"/>
      <c r="AU166" s="45"/>
    </row>
    <row r="167" spans="1:47" s="36" customFormat="1" ht="12.75" x14ac:dyDescent="0.2">
      <c r="A167" s="5"/>
      <c r="E167" s="5"/>
      <c r="F167" s="132"/>
      <c r="G167" s="132"/>
      <c r="H167" s="9"/>
      <c r="I167" s="9"/>
      <c r="J167" s="9"/>
      <c r="K167" s="9"/>
      <c r="L167" s="44"/>
      <c r="Q167" s="5"/>
      <c r="AB167" s="9"/>
      <c r="AC167" s="9"/>
      <c r="AG167" s="5"/>
      <c r="AR167" s="38"/>
      <c r="AU167" s="45"/>
    </row>
    <row r="168" spans="1:47" s="36" customFormat="1" ht="12.75" x14ac:dyDescent="0.2">
      <c r="A168" s="5"/>
      <c r="E168" s="5"/>
      <c r="F168" s="132"/>
      <c r="G168" s="132"/>
      <c r="H168" s="9"/>
      <c r="I168" s="9"/>
      <c r="J168" s="9"/>
      <c r="K168" s="9"/>
      <c r="L168" s="44"/>
      <c r="Q168" s="5"/>
      <c r="AB168" s="9"/>
      <c r="AC168" s="9"/>
      <c r="AG168" s="5"/>
      <c r="AR168" s="38"/>
      <c r="AU168" s="45"/>
    </row>
    <row r="169" spans="1:47" s="36" customFormat="1" ht="12.75" x14ac:dyDescent="0.2">
      <c r="A169" s="5"/>
      <c r="E169" s="5"/>
      <c r="F169" s="132"/>
      <c r="G169" s="132"/>
      <c r="H169" s="9"/>
      <c r="I169" s="9"/>
      <c r="J169" s="9"/>
      <c r="K169" s="9"/>
      <c r="L169" s="44"/>
      <c r="Q169" s="5"/>
      <c r="AB169" s="9"/>
      <c r="AC169" s="9"/>
      <c r="AG169" s="5"/>
      <c r="AR169" s="38"/>
      <c r="AU169" s="45"/>
    </row>
    <row r="170" spans="1:47" s="36" customFormat="1" ht="12.75" x14ac:dyDescent="0.2">
      <c r="A170" s="5"/>
      <c r="E170" s="5"/>
      <c r="F170" s="132"/>
      <c r="G170" s="132"/>
      <c r="H170" s="9"/>
      <c r="I170" s="9"/>
      <c r="J170" s="9"/>
      <c r="K170" s="9"/>
      <c r="L170" s="44"/>
      <c r="Q170" s="5"/>
      <c r="AB170" s="9"/>
      <c r="AC170" s="9"/>
      <c r="AG170" s="5"/>
      <c r="AR170" s="38"/>
      <c r="AU170" s="45"/>
    </row>
    <row r="171" spans="1:47" s="36" customFormat="1" ht="12.75" x14ac:dyDescent="0.2">
      <c r="A171" s="5"/>
      <c r="E171" s="5"/>
      <c r="F171" s="132"/>
      <c r="G171" s="132"/>
      <c r="H171" s="9"/>
      <c r="I171" s="9"/>
      <c r="J171" s="9"/>
      <c r="K171" s="9"/>
      <c r="L171" s="44"/>
      <c r="Q171" s="5"/>
      <c r="AB171" s="9"/>
      <c r="AC171" s="9"/>
      <c r="AG171" s="5"/>
      <c r="AR171" s="38"/>
      <c r="AU171" s="45"/>
    </row>
    <row r="172" spans="1:47" s="36" customFormat="1" ht="12.75" x14ac:dyDescent="0.2">
      <c r="A172" s="5"/>
      <c r="E172" s="5"/>
      <c r="F172" s="132"/>
      <c r="G172" s="132"/>
      <c r="H172" s="9"/>
      <c r="I172" s="9"/>
      <c r="J172" s="9"/>
      <c r="K172" s="9"/>
      <c r="L172" s="44"/>
      <c r="Q172" s="5"/>
      <c r="AB172" s="9"/>
      <c r="AC172" s="9"/>
      <c r="AG172" s="5"/>
      <c r="AR172" s="38"/>
      <c r="AU172" s="45"/>
    </row>
    <row r="173" spans="1:47" s="36" customFormat="1" ht="12.75" x14ac:dyDescent="0.2">
      <c r="A173" s="5"/>
      <c r="E173" s="5"/>
      <c r="F173" s="132"/>
      <c r="G173" s="132"/>
      <c r="H173" s="9"/>
      <c r="I173" s="9"/>
      <c r="J173" s="9"/>
      <c r="K173" s="9"/>
      <c r="L173" s="44"/>
      <c r="Q173" s="5"/>
      <c r="AB173" s="9"/>
      <c r="AC173" s="9"/>
      <c r="AG173" s="5"/>
      <c r="AR173" s="38"/>
      <c r="AU173" s="45"/>
    </row>
    <row r="174" spans="1:47" s="36" customFormat="1" ht="12.75" x14ac:dyDescent="0.2">
      <c r="A174" s="5"/>
      <c r="E174" s="5"/>
      <c r="F174" s="132"/>
      <c r="G174" s="132"/>
      <c r="H174" s="9"/>
      <c r="I174" s="9"/>
      <c r="J174" s="9"/>
      <c r="K174" s="9"/>
      <c r="L174" s="44"/>
      <c r="Q174" s="5"/>
      <c r="AB174" s="9"/>
      <c r="AC174" s="9"/>
      <c r="AG174" s="5"/>
      <c r="AR174" s="38"/>
      <c r="AU174" s="45"/>
    </row>
    <row r="175" spans="1:47" s="36" customFormat="1" ht="12.75" x14ac:dyDescent="0.2">
      <c r="A175" s="5"/>
      <c r="E175" s="5"/>
      <c r="F175" s="132"/>
      <c r="G175" s="132"/>
      <c r="H175" s="9"/>
      <c r="I175" s="9"/>
      <c r="J175" s="9"/>
      <c r="K175" s="9"/>
      <c r="L175" s="44"/>
      <c r="Q175" s="5"/>
      <c r="AB175" s="9"/>
      <c r="AC175" s="9"/>
      <c r="AG175" s="5"/>
      <c r="AR175" s="38"/>
      <c r="AU175" s="45"/>
    </row>
    <row r="176" spans="1:47" s="36" customFormat="1" ht="12.75" x14ac:dyDescent="0.2">
      <c r="A176" s="5"/>
      <c r="E176" s="5"/>
      <c r="F176" s="132"/>
      <c r="G176" s="132"/>
      <c r="H176" s="9"/>
      <c r="I176" s="9"/>
      <c r="J176" s="9"/>
      <c r="K176" s="9"/>
      <c r="L176" s="44"/>
      <c r="Q176" s="5"/>
      <c r="AB176" s="9"/>
      <c r="AC176" s="9"/>
      <c r="AG176" s="5"/>
      <c r="AR176" s="38"/>
      <c r="AU176" s="45"/>
    </row>
    <row r="177" spans="1:47" s="36" customFormat="1" ht="12.75" x14ac:dyDescent="0.2">
      <c r="A177" s="5"/>
      <c r="E177" s="5"/>
      <c r="F177" s="132"/>
      <c r="G177" s="132"/>
      <c r="H177" s="9"/>
      <c r="I177" s="9"/>
      <c r="J177" s="9"/>
      <c r="K177" s="9"/>
      <c r="L177" s="44"/>
      <c r="Q177" s="5"/>
      <c r="AB177" s="9"/>
      <c r="AC177" s="9"/>
      <c r="AG177" s="5"/>
      <c r="AR177" s="38"/>
      <c r="AU177" s="45"/>
    </row>
    <row r="178" spans="1:47" s="36" customFormat="1" ht="12.75" x14ac:dyDescent="0.2">
      <c r="A178" s="5"/>
      <c r="E178" s="5"/>
      <c r="F178" s="132"/>
      <c r="G178" s="132"/>
      <c r="H178" s="9"/>
      <c r="I178" s="9"/>
      <c r="J178" s="9"/>
      <c r="K178" s="9"/>
      <c r="L178" s="44"/>
      <c r="Q178" s="5"/>
      <c r="AB178" s="9"/>
      <c r="AC178" s="9"/>
      <c r="AG178" s="5"/>
      <c r="AR178" s="38"/>
      <c r="AU178" s="45"/>
    </row>
    <row r="179" spans="1:47" s="36" customFormat="1" ht="12.75" x14ac:dyDescent="0.2">
      <c r="A179" s="5"/>
      <c r="E179" s="5"/>
      <c r="F179" s="132"/>
      <c r="G179" s="132"/>
      <c r="H179" s="9"/>
      <c r="I179" s="9"/>
      <c r="J179" s="9"/>
      <c r="K179" s="9"/>
      <c r="L179" s="44"/>
      <c r="Q179" s="5"/>
      <c r="AB179" s="9"/>
      <c r="AC179" s="9"/>
      <c r="AG179" s="5"/>
      <c r="AR179" s="38"/>
      <c r="AU179" s="45"/>
    </row>
    <row r="180" spans="1:47" s="36" customFormat="1" ht="12.75" x14ac:dyDescent="0.2">
      <c r="A180" s="5"/>
      <c r="E180" s="5"/>
      <c r="F180" s="132"/>
      <c r="G180" s="132"/>
      <c r="H180" s="9"/>
      <c r="I180" s="9"/>
      <c r="J180" s="9"/>
      <c r="K180" s="9"/>
      <c r="L180" s="44"/>
      <c r="Q180" s="5"/>
      <c r="AB180" s="9"/>
      <c r="AC180" s="9"/>
      <c r="AG180" s="5"/>
      <c r="AR180" s="38"/>
      <c r="AU180" s="45"/>
    </row>
    <row r="181" spans="1:47" s="36" customFormat="1" ht="12.75" x14ac:dyDescent="0.2">
      <c r="A181" s="5"/>
      <c r="E181" s="5"/>
      <c r="F181" s="132"/>
      <c r="G181" s="132"/>
      <c r="H181" s="9"/>
      <c r="I181" s="9"/>
      <c r="J181" s="9"/>
      <c r="K181" s="9"/>
      <c r="L181" s="44"/>
      <c r="Q181" s="5"/>
      <c r="AB181" s="9"/>
      <c r="AC181" s="9"/>
      <c r="AG181" s="5"/>
      <c r="AR181" s="38"/>
      <c r="AU181" s="45"/>
    </row>
    <row r="182" spans="1:47" s="36" customFormat="1" ht="12.75" x14ac:dyDescent="0.2">
      <c r="A182" s="5"/>
      <c r="E182" s="5"/>
      <c r="F182" s="132"/>
      <c r="G182" s="132"/>
      <c r="H182" s="9"/>
      <c r="I182" s="9"/>
      <c r="J182" s="9"/>
      <c r="K182" s="9"/>
      <c r="L182" s="44"/>
      <c r="Q182" s="5"/>
      <c r="AB182" s="9"/>
      <c r="AC182" s="9"/>
      <c r="AG182" s="5"/>
      <c r="AR182" s="38"/>
      <c r="AU182" s="45"/>
    </row>
    <row r="183" spans="1:47" s="36" customFormat="1" ht="12.75" x14ac:dyDescent="0.2">
      <c r="A183" s="5"/>
      <c r="E183" s="5"/>
      <c r="F183" s="132"/>
      <c r="G183" s="132"/>
      <c r="H183" s="9"/>
      <c r="I183" s="9"/>
      <c r="J183" s="9"/>
      <c r="K183" s="9"/>
      <c r="L183" s="44"/>
      <c r="Q183" s="5"/>
      <c r="AB183" s="9"/>
      <c r="AC183" s="9"/>
      <c r="AG183" s="5"/>
      <c r="AR183" s="38"/>
      <c r="AU183" s="45"/>
    </row>
    <row r="184" spans="1:47" s="36" customFormat="1" ht="12.75" x14ac:dyDescent="0.2">
      <c r="A184" s="5"/>
      <c r="E184" s="5"/>
      <c r="F184" s="132"/>
      <c r="G184" s="132"/>
      <c r="H184" s="9"/>
      <c r="I184" s="9"/>
      <c r="J184" s="9"/>
      <c r="K184" s="9"/>
      <c r="L184" s="44"/>
      <c r="Q184" s="5"/>
      <c r="AB184" s="9"/>
      <c r="AC184" s="9"/>
      <c r="AG184" s="5"/>
      <c r="AR184" s="38"/>
      <c r="AU184" s="45"/>
    </row>
    <row r="185" spans="1:47" s="36" customFormat="1" ht="12.75" x14ac:dyDescent="0.2">
      <c r="A185" s="5"/>
      <c r="E185" s="5"/>
      <c r="F185" s="132"/>
      <c r="G185" s="132"/>
      <c r="H185" s="9"/>
      <c r="I185" s="9"/>
      <c r="J185" s="9"/>
      <c r="K185" s="9"/>
      <c r="L185" s="44"/>
      <c r="Q185" s="5"/>
      <c r="AB185" s="9"/>
      <c r="AC185" s="9"/>
      <c r="AG185" s="5"/>
      <c r="AR185" s="38"/>
      <c r="AU185" s="45"/>
    </row>
    <row r="186" spans="1:47" s="36" customFormat="1" ht="12.75" x14ac:dyDescent="0.2">
      <c r="A186" s="5"/>
      <c r="E186" s="5"/>
      <c r="F186" s="132"/>
      <c r="G186" s="132"/>
      <c r="H186" s="9"/>
      <c r="I186" s="9"/>
      <c r="J186" s="9"/>
      <c r="K186" s="9"/>
      <c r="L186" s="44"/>
      <c r="Q186" s="5"/>
      <c r="AB186" s="9"/>
      <c r="AC186" s="9"/>
      <c r="AG186" s="5"/>
      <c r="AR186" s="38"/>
      <c r="AU186" s="45"/>
    </row>
    <row r="187" spans="1:47" s="36" customFormat="1" ht="12.75" x14ac:dyDescent="0.2">
      <c r="A187" s="5"/>
      <c r="E187" s="5"/>
      <c r="F187" s="132"/>
      <c r="G187" s="132"/>
      <c r="H187" s="9"/>
      <c r="I187" s="9"/>
      <c r="J187" s="9"/>
      <c r="K187" s="9"/>
      <c r="L187" s="44"/>
      <c r="Q187" s="5"/>
      <c r="AB187" s="9"/>
      <c r="AC187" s="9"/>
      <c r="AG187" s="5"/>
      <c r="AR187" s="38"/>
      <c r="AU187" s="45"/>
    </row>
    <row r="188" spans="1:47" s="36" customFormat="1" ht="12.75" x14ac:dyDescent="0.2">
      <c r="A188" s="5"/>
      <c r="E188" s="5"/>
      <c r="F188" s="132"/>
      <c r="G188" s="132"/>
      <c r="H188" s="9"/>
      <c r="I188" s="9"/>
      <c r="J188" s="9"/>
      <c r="K188" s="9"/>
      <c r="L188" s="44"/>
      <c r="Q188" s="5"/>
      <c r="AB188" s="9"/>
      <c r="AC188" s="9"/>
      <c r="AG188" s="5"/>
      <c r="AR188" s="38"/>
      <c r="AU188" s="45"/>
    </row>
    <row r="189" spans="1:47" s="36" customFormat="1" ht="12.75" x14ac:dyDescent="0.2">
      <c r="A189" s="5"/>
      <c r="E189" s="5"/>
      <c r="F189" s="132"/>
      <c r="G189" s="132"/>
      <c r="H189" s="9"/>
      <c r="I189" s="9"/>
      <c r="J189" s="9"/>
      <c r="K189" s="9"/>
      <c r="L189" s="44"/>
      <c r="Q189" s="5"/>
      <c r="AB189" s="9"/>
      <c r="AC189" s="9"/>
      <c r="AG189" s="5"/>
      <c r="AR189" s="38"/>
      <c r="AU189" s="45"/>
    </row>
    <row r="190" spans="1:47" s="36" customFormat="1" ht="12.75" x14ac:dyDescent="0.2">
      <c r="A190" s="5"/>
      <c r="E190" s="5"/>
      <c r="F190" s="132"/>
      <c r="G190" s="132"/>
      <c r="H190" s="9"/>
      <c r="I190" s="9"/>
      <c r="J190" s="9"/>
      <c r="K190" s="9"/>
      <c r="L190" s="44"/>
      <c r="Q190" s="5"/>
      <c r="AB190" s="9"/>
      <c r="AC190" s="9"/>
      <c r="AG190" s="5"/>
      <c r="AR190" s="38"/>
      <c r="AU190" s="45"/>
    </row>
    <row r="191" spans="1:47" s="36" customFormat="1" ht="12.75" x14ac:dyDescent="0.2">
      <c r="A191" s="5"/>
      <c r="E191" s="5"/>
      <c r="F191" s="132"/>
      <c r="G191" s="132"/>
      <c r="H191" s="9"/>
      <c r="I191" s="9"/>
      <c r="J191" s="9"/>
      <c r="K191" s="9"/>
      <c r="L191" s="44"/>
      <c r="Q191" s="5"/>
      <c r="AB191" s="9"/>
      <c r="AC191" s="9"/>
      <c r="AG191" s="5"/>
      <c r="AR191" s="38"/>
      <c r="AU191" s="45"/>
    </row>
    <row r="192" spans="1:47" s="36" customFormat="1" ht="12.75" x14ac:dyDescent="0.2">
      <c r="A192" s="5"/>
      <c r="E192" s="5"/>
      <c r="F192" s="132"/>
      <c r="G192" s="132"/>
      <c r="H192" s="9"/>
      <c r="I192" s="9"/>
      <c r="J192" s="9"/>
      <c r="K192" s="9"/>
      <c r="L192" s="44"/>
      <c r="Q192" s="5"/>
      <c r="AB192" s="9"/>
      <c r="AC192" s="9"/>
      <c r="AG192" s="5"/>
      <c r="AR192" s="38"/>
      <c r="AU192" s="45"/>
    </row>
    <row r="193" spans="1:47" s="36" customFormat="1" ht="12.75" x14ac:dyDescent="0.2">
      <c r="A193" s="5"/>
      <c r="E193" s="5"/>
      <c r="F193" s="132"/>
      <c r="G193" s="132"/>
      <c r="H193" s="9"/>
      <c r="I193" s="9"/>
      <c r="J193" s="9"/>
      <c r="K193" s="9"/>
      <c r="L193" s="44"/>
      <c r="Q193" s="5"/>
      <c r="AB193" s="9"/>
      <c r="AC193" s="9"/>
      <c r="AG193" s="5"/>
      <c r="AR193" s="38"/>
      <c r="AU193" s="45"/>
    </row>
    <row r="194" spans="1:47" s="36" customFormat="1" ht="12.75" x14ac:dyDescent="0.2">
      <c r="A194" s="5"/>
      <c r="E194" s="5"/>
      <c r="F194" s="132"/>
      <c r="G194" s="132"/>
      <c r="H194" s="9"/>
      <c r="I194" s="9"/>
      <c r="J194" s="9"/>
      <c r="K194" s="9"/>
      <c r="L194" s="44"/>
      <c r="Q194" s="5"/>
      <c r="AB194" s="9"/>
      <c r="AC194" s="9"/>
      <c r="AG194" s="5"/>
      <c r="AR194" s="38"/>
      <c r="AU194" s="45"/>
    </row>
    <row r="195" spans="1:47" s="36" customFormat="1" ht="12.75" x14ac:dyDescent="0.2">
      <c r="A195" s="5"/>
      <c r="E195" s="5"/>
      <c r="F195" s="132"/>
      <c r="G195" s="132"/>
      <c r="H195" s="9"/>
      <c r="I195" s="9"/>
      <c r="J195" s="9"/>
      <c r="K195" s="9"/>
      <c r="L195" s="44"/>
      <c r="Q195" s="5"/>
      <c r="AB195" s="9"/>
      <c r="AC195" s="9"/>
      <c r="AG195" s="5"/>
      <c r="AR195" s="38"/>
      <c r="AU195" s="45"/>
    </row>
    <row r="196" spans="1:47" s="36" customFormat="1" ht="12.75" x14ac:dyDescent="0.2">
      <c r="A196" s="5"/>
      <c r="E196" s="5"/>
      <c r="F196" s="132"/>
      <c r="G196" s="132"/>
      <c r="H196" s="9"/>
      <c r="I196" s="9"/>
      <c r="J196" s="9"/>
      <c r="K196" s="9"/>
      <c r="L196" s="44"/>
      <c r="Q196" s="5"/>
      <c r="AB196" s="9"/>
      <c r="AC196" s="9"/>
      <c r="AG196" s="5"/>
      <c r="AR196" s="38"/>
      <c r="AU196" s="45"/>
    </row>
    <row r="197" spans="1:47" s="36" customFormat="1" ht="12.75" x14ac:dyDescent="0.2">
      <c r="A197" s="5"/>
      <c r="E197" s="5"/>
      <c r="F197" s="132"/>
      <c r="G197" s="132"/>
      <c r="H197" s="9"/>
      <c r="I197" s="9"/>
      <c r="J197" s="9"/>
      <c r="K197" s="9"/>
      <c r="L197" s="44"/>
      <c r="Q197" s="5"/>
      <c r="AB197" s="9"/>
      <c r="AC197" s="9"/>
      <c r="AG197" s="5"/>
      <c r="AR197" s="38"/>
      <c r="AU197" s="45"/>
    </row>
    <row r="198" spans="1:47" s="36" customFormat="1" ht="12.75" x14ac:dyDescent="0.2">
      <c r="A198" s="5"/>
      <c r="E198" s="5"/>
      <c r="F198" s="132"/>
      <c r="G198" s="132"/>
      <c r="H198" s="9"/>
      <c r="I198" s="9"/>
      <c r="J198" s="9"/>
      <c r="K198" s="9"/>
      <c r="L198" s="44"/>
      <c r="Q198" s="5"/>
      <c r="AB198" s="9"/>
      <c r="AC198" s="9"/>
      <c r="AG198" s="5"/>
      <c r="AR198" s="38"/>
      <c r="AU198" s="45"/>
    </row>
    <row r="199" spans="1:47" s="36" customFormat="1" ht="12.75" x14ac:dyDescent="0.2">
      <c r="A199" s="5"/>
      <c r="E199" s="5"/>
      <c r="F199" s="132"/>
      <c r="G199" s="132"/>
      <c r="H199" s="9"/>
      <c r="I199" s="9"/>
      <c r="J199" s="9"/>
      <c r="K199" s="9"/>
      <c r="L199" s="44"/>
      <c r="Q199" s="5"/>
      <c r="AB199" s="9"/>
      <c r="AC199" s="9"/>
      <c r="AG199" s="5"/>
      <c r="AR199" s="38"/>
      <c r="AU199" s="45"/>
    </row>
    <row r="200" spans="1:47" s="36" customFormat="1" ht="12.75" x14ac:dyDescent="0.2">
      <c r="A200" s="5"/>
      <c r="E200" s="5"/>
      <c r="F200" s="132"/>
      <c r="G200" s="132"/>
      <c r="H200" s="9"/>
      <c r="I200" s="9"/>
      <c r="J200" s="9"/>
      <c r="K200" s="9"/>
      <c r="L200" s="44"/>
      <c r="Q200" s="5"/>
      <c r="AB200" s="9"/>
      <c r="AC200" s="9"/>
      <c r="AG200" s="5"/>
      <c r="AR200" s="38"/>
      <c r="AU200" s="45"/>
    </row>
    <row r="201" spans="1:47" s="36" customFormat="1" ht="12.75" x14ac:dyDescent="0.2">
      <c r="A201" s="5"/>
      <c r="E201" s="5"/>
      <c r="F201" s="132"/>
      <c r="G201" s="132"/>
      <c r="H201" s="9"/>
      <c r="I201" s="9"/>
      <c r="J201" s="9"/>
      <c r="K201" s="9"/>
      <c r="L201" s="44"/>
      <c r="Q201" s="5"/>
      <c r="AB201" s="9"/>
      <c r="AC201" s="9"/>
      <c r="AG201" s="5"/>
      <c r="AR201" s="38"/>
      <c r="AU201" s="45"/>
    </row>
    <row r="202" spans="1:47" s="36" customFormat="1" ht="12.75" x14ac:dyDescent="0.2">
      <c r="A202" s="5"/>
      <c r="E202" s="5"/>
      <c r="F202" s="132"/>
      <c r="G202" s="132"/>
      <c r="H202" s="9"/>
      <c r="I202" s="9"/>
      <c r="J202" s="9"/>
      <c r="K202" s="9"/>
      <c r="L202" s="44"/>
      <c r="Q202" s="5"/>
      <c r="AB202" s="9"/>
      <c r="AC202" s="9"/>
      <c r="AG202" s="5"/>
      <c r="AR202" s="38"/>
      <c r="AU202" s="45"/>
    </row>
    <row r="203" spans="1:47" s="36" customFormat="1" ht="12.75" x14ac:dyDescent="0.2">
      <c r="A203" s="5"/>
      <c r="E203" s="5"/>
      <c r="F203" s="132"/>
      <c r="G203" s="132"/>
      <c r="H203" s="9"/>
      <c r="I203" s="9"/>
      <c r="J203" s="9"/>
      <c r="K203" s="9"/>
      <c r="L203" s="44"/>
      <c r="Q203" s="5"/>
      <c r="AB203" s="9"/>
      <c r="AC203" s="9"/>
      <c r="AG203" s="5"/>
      <c r="AR203" s="38"/>
      <c r="AU203" s="45"/>
    </row>
    <row r="204" spans="1:47" s="36" customFormat="1" ht="12.75" x14ac:dyDescent="0.2">
      <c r="A204" s="5"/>
      <c r="E204" s="5"/>
      <c r="F204" s="132"/>
      <c r="G204" s="132"/>
      <c r="H204" s="9"/>
      <c r="I204" s="9"/>
      <c r="J204" s="9"/>
      <c r="K204" s="9"/>
      <c r="L204" s="44"/>
      <c r="Q204" s="5"/>
      <c r="AB204" s="9"/>
      <c r="AC204" s="9"/>
      <c r="AG204" s="5"/>
      <c r="AR204" s="38"/>
      <c r="AU204" s="45"/>
    </row>
    <row r="205" spans="1:47" s="36" customFormat="1" ht="12.75" x14ac:dyDescent="0.2">
      <c r="A205" s="5"/>
      <c r="E205" s="5"/>
      <c r="F205" s="132"/>
      <c r="G205" s="132"/>
      <c r="H205" s="9"/>
      <c r="I205" s="9"/>
      <c r="J205" s="9"/>
      <c r="K205" s="9"/>
      <c r="L205" s="44"/>
      <c r="Q205" s="5"/>
      <c r="AB205" s="9"/>
      <c r="AC205" s="9"/>
      <c r="AG205" s="5"/>
      <c r="AR205" s="38"/>
      <c r="AU205" s="45"/>
    </row>
    <row r="206" spans="1:47" s="36" customFormat="1" ht="12.75" x14ac:dyDescent="0.2">
      <c r="A206" s="5"/>
      <c r="E206" s="5"/>
      <c r="F206" s="132"/>
      <c r="G206" s="132"/>
      <c r="H206" s="9"/>
      <c r="I206" s="9"/>
      <c r="J206" s="9"/>
      <c r="K206" s="9"/>
      <c r="L206" s="44"/>
      <c r="Q206" s="5"/>
      <c r="AB206" s="9"/>
      <c r="AC206" s="9"/>
      <c r="AG206" s="5"/>
      <c r="AR206" s="38"/>
      <c r="AU206" s="45"/>
    </row>
    <row r="207" spans="1:47" s="36" customFormat="1" ht="12.75" x14ac:dyDescent="0.2">
      <c r="A207" s="5"/>
      <c r="E207" s="5"/>
      <c r="F207" s="132"/>
      <c r="G207" s="132"/>
      <c r="H207" s="9"/>
      <c r="I207" s="9"/>
      <c r="J207" s="9"/>
      <c r="K207" s="9"/>
      <c r="L207" s="44"/>
      <c r="Q207" s="5"/>
      <c r="AB207" s="9"/>
      <c r="AC207" s="9"/>
      <c r="AG207" s="5"/>
      <c r="AR207" s="38"/>
      <c r="AU207" s="45"/>
    </row>
    <row r="208" spans="1:47" s="36" customFormat="1" ht="12.75" x14ac:dyDescent="0.2">
      <c r="A208" s="5"/>
      <c r="E208" s="5"/>
      <c r="F208" s="132"/>
      <c r="G208" s="132"/>
      <c r="H208" s="9"/>
      <c r="I208" s="9"/>
      <c r="J208" s="9"/>
      <c r="K208" s="9"/>
      <c r="L208" s="44"/>
      <c r="Q208" s="5"/>
      <c r="AB208" s="9"/>
      <c r="AC208" s="9"/>
      <c r="AG208" s="5"/>
      <c r="AR208" s="38"/>
      <c r="AU208" s="45"/>
    </row>
    <row r="209" spans="1:47" s="36" customFormat="1" ht="12.75" x14ac:dyDescent="0.2">
      <c r="A209" s="5"/>
      <c r="E209" s="5"/>
      <c r="F209" s="132"/>
      <c r="G209" s="132"/>
      <c r="H209" s="9"/>
      <c r="I209" s="9"/>
      <c r="J209" s="9"/>
      <c r="K209" s="9"/>
      <c r="L209" s="44"/>
      <c r="Q209" s="5"/>
      <c r="AB209" s="9"/>
      <c r="AC209" s="9"/>
      <c r="AG209" s="5"/>
      <c r="AR209" s="38"/>
      <c r="AU209" s="45"/>
    </row>
    <row r="210" spans="1:47" s="36" customFormat="1" ht="12.75" x14ac:dyDescent="0.2">
      <c r="A210" s="5"/>
      <c r="E210" s="5"/>
      <c r="F210" s="132"/>
      <c r="G210" s="132"/>
      <c r="H210" s="9"/>
      <c r="I210" s="9"/>
      <c r="J210" s="9"/>
      <c r="K210" s="9"/>
      <c r="L210" s="44"/>
      <c r="Q210" s="5"/>
      <c r="AB210" s="9"/>
      <c r="AC210" s="9"/>
      <c r="AG210" s="5"/>
      <c r="AR210" s="38"/>
      <c r="AU210" s="45"/>
    </row>
    <row r="211" spans="1:47" s="36" customFormat="1" ht="12.75" x14ac:dyDescent="0.2">
      <c r="A211" s="5"/>
      <c r="E211" s="5"/>
      <c r="F211" s="132"/>
      <c r="G211" s="132"/>
      <c r="H211" s="9"/>
      <c r="I211" s="9"/>
      <c r="J211" s="9"/>
      <c r="K211" s="9"/>
      <c r="L211" s="44"/>
      <c r="Q211" s="5"/>
      <c r="AB211" s="9"/>
      <c r="AC211" s="9"/>
      <c r="AG211" s="5"/>
      <c r="AR211" s="38"/>
      <c r="AU211" s="45"/>
    </row>
    <row r="212" spans="1:47" s="36" customFormat="1" ht="12.75" x14ac:dyDescent="0.2">
      <c r="A212" s="5"/>
      <c r="E212" s="5"/>
      <c r="F212" s="132"/>
      <c r="G212" s="132"/>
      <c r="H212" s="9"/>
      <c r="I212" s="9"/>
      <c r="J212" s="9"/>
      <c r="K212" s="9"/>
      <c r="L212" s="44"/>
      <c r="Q212" s="5"/>
      <c r="AB212" s="9"/>
      <c r="AC212" s="9"/>
      <c r="AG212" s="5"/>
      <c r="AR212" s="38"/>
      <c r="AU212" s="45"/>
    </row>
    <row r="213" spans="1:47" s="36" customFormat="1" ht="12.75" x14ac:dyDescent="0.2">
      <c r="A213" s="5"/>
      <c r="E213" s="5"/>
      <c r="F213" s="132"/>
      <c r="G213" s="132"/>
      <c r="H213" s="9"/>
      <c r="I213" s="9"/>
      <c r="J213" s="9"/>
      <c r="K213" s="9"/>
      <c r="L213" s="44"/>
      <c r="Q213" s="5"/>
      <c r="AB213" s="9"/>
      <c r="AC213" s="9"/>
      <c r="AG213" s="5"/>
      <c r="AR213" s="38"/>
      <c r="AU213" s="45"/>
    </row>
    <row r="214" spans="1:47" s="36" customFormat="1" ht="12.75" x14ac:dyDescent="0.2">
      <c r="A214" s="5"/>
      <c r="E214" s="5"/>
      <c r="F214" s="132"/>
      <c r="G214" s="132"/>
      <c r="H214" s="9"/>
      <c r="I214" s="9"/>
      <c r="J214" s="9"/>
      <c r="K214" s="9"/>
      <c r="L214" s="44"/>
      <c r="Q214" s="5"/>
      <c r="AB214" s="9"/>
      <c r="AC214" s="9"/>
      <c r="AG214" s="5"/>
      <c r="AR214" s="38"/>
      <c r="AU214" s="45"/>
    </row>
    <row r="215" spans="1:47" s="36" customFormat="1" ht="12.75" x14ac:dyDescent="0.2">
      <c r="A215" s="5"/>
      <c r="E215" s="5"/>
      <c r="F215" s="132"/>
      <c r="G215" s="132"/>
      <c r="H215" s="9"/>
      <c r="I215" s="9"/>
      <c r="J215" s="9"/>
      <c r="K215" s="9"/>
      <c r="L215" s="44"/>
      <c r="Q215" s="5"/>
      <c r="AB215" s="9"/>
      <c r="AC215" s="9"/>
      <c r="AG215" s="5"/>
      <c r="AR215" s="38"/>
      <c r="AU215" s="45"/>
    </row>
    <row r="216" spans="1:47" s="36" customFormat="1" ht="12.75" x14ac:dyDescent="0.2">
      <c r="A216" s="5"/>
      <c r="E216" s="5"/>
      <c r="F216" s="132"/>
      <c r="G216" s="132"/>
      <c r="H216" s="9"/>
      <c r="I216" s="9"/>
      <c r="J216" s="9"/>
      <c r="K216" s="9"/>
      <c r="L216" s="44"/>
      <c r="Q216" s="5"/>
      <c r="AB216" s="9"/>
      <c r="AC216" s="9"/>
      <c r="AG216" s="5"/>
      <c r="AR216" s="38"/>
      <c r="AU216" s="45"/>
    </row>
    <row r="217" spans="1:47" s="36" customFormat="1" ht="12.75" x14ac:dyDescent="0.2">
      <c r="A217" s="5"/>
      <c r="E217" s="5"/>
      <c r="F217" s="132"/>
      <c r="G217" s="132"/>
      <c r="H217" s="9"/>
      <c r="I217" s="9"/>
      <c r="J217" s="9"/>
      <c r="K217" s="9"/>
      <c r="L217" s="44"/>
      <c r="Q217" s="5"/>
      <c r="AB217" s="9"/>
      <c r="AC217" s="9"/>
      <c r="AG217" s="5"/>
      <c r="AR217" s="38"/>
      <c r="AU217" s="45"/>
    </row>
    <row r="218" spans="1:47" s="36" customFormat="1" ht="12.75" x14ac:dyDescent="0.2">
      <c r="A218" s="5"/>
      <c r="E218" s="5"/>
      <c r="F218" s="132"/>
      <c r="G218" s="132"/>
      <c r="H218" s="9"/>
      <c r="I218" s="9"/>
      <c r="J218" s="9"/>
      <c r="K218" s="9"/>
      <c r="L218" s="44"/>
      <c r="Q218" s="5"/>
      <c r="AB218" s="9"/>
      <c r="AC218" s="9"/>
      <c r="AG218" s="5"/>
      <c r="AR218" s="38"/>
      <c r="AU218" s="45"/>
    </row>
    <row r="219" spans="1:47" s="36" customFormat="1" ht="12.75" x14ac:dyDescent="0.2">
      <c r="A219" s="5"/>
      <c r="E219" s="5"/>
      <c r="F219" s="132"/>
      <c r="G219" s="132"/>
      <c r="H219" s="9"/>
      <c r="I219" s="9"/>
      <c r="J219" s="9"/>
      <c r="K219" s="9"/>
      <c r="L219" s="44"/>
      <c r="Q219" s="5"/>
      <c r="AB219" s="9"/>
      <c r="AC219" s="9"/>
      <c r="AG219" s="5"/>
      <c r="AR219" s="38"/>
      <c r="AU219" s="45"/>
    </row>
    <row r="220" spans="1:47" s="36" customFormat="1" ht="12.75" x14ac:dyDescent="0.2">
      <c r="A220" s="5"/>
      <c r="E220" s="5"/>
      <c r="F220" s="132"/>
      <c r="G220" s="132"/>
      <c r="H220" s="9"/>
      <c r="I220" s="9"/>
      <c r="J220" s="9"/>
      <c r="K220" s="9"/>
      <c r="L220" s="44"/>
      <c r="Q220" s="5"/>
      <c r="AB220" s="9"/>
      <c r="AC220" s="9"/>
      <c r="AG220" s="5"/>
      <c r="AR220" s="38"/>
      <c r="AU220" s="45"/>
    </row>
    <row r="221" spans="1:47" s="36" customFormat="1" ht="12.75" x14ac:dyDescent="0.2">
      <c r="A221" s="5"/>
      <c r="E221" s="5"/>
      <c r="F221" s="132"/>
      <c r="G221" s="132"/>
      <c r="H221" s="9"/>
      <c r="I221" s="9"/>
      <c r="J221" s="9"/>
      <c r="K221" s="9"/>
      <c r="L221" s="44"/>
      <c r="Q221" s="5"/>
      <c r="AB221" s="9"/>
      <c r="AC221" s="9"/>
      <c r="AG221" s="5"/>
      <c r="AR221" s="38"/>
      <c r="AU221" s="45"/>
    </row>
    <row r="222" spans="1:47" s="36" customFormat="1" ht="12.75" x14ac:dyDescent="0.2">
      <c r="A222" s="5"/>
      <c r="E222" s="5"/>
      <c r="F222" s="132"/>
      <c r="G222" s="132"/>
      <c r="H222" s="9"/>
      <c r="I222" s="9"/>
      <c r="J222" s="9"/>
      <c r="K222" s="9"/>
      <c r="L222" s="44"/>
      <c r="Q222" s="5"/>
      <c r="AB222" s="9"/>
      <c r="AC222" s="9"/>
      <c r="AG222" s="5"/>
      <c r="AR222" s="38"/>
      <c r="AU222" s="45"/>
    </row>
    <row r="223" spans="1:47" s="36" customFormat="1" ht="12.75" x14ac:dyDescent="0.2">
      <c r="A223" s="5"/>
      <c r="E223" s="5"/>
      <c r="F223" s="132"/>
      <c r="G223" s="132"/>
      <c r="H223" s="9"/>
      <c r="I223" s="9"/>
      <c r="J223" s="9"/>
      <c r="K223" s="9"/>
      <c r="L223" s="44"/>
      <c r="Q223" s="5"/>
      <c r="AB223" s="9"/>
      <c r="AC223" s="9"/>
      <c r="AG223" s="5"/>
      <c r="AR223" s="38"/>
      <c r="AU223" s="45"/>
    </row>
    <row r="224" spans="1:47" s="36" customFormat="1" ht="12.75" x14ac:dyDescent="0.2">
      <c r="A224" s="5"/>
      <c r="E224" s="5"/>
      <c r="F224" s="132"/>
      <c r="G224" s="132"/>
      <c r="H224" s="9"/>
      <c r="I224" s="9"/>
      <c r="J224" s="9"/>
      <c r="K224" s="9"/>
      <c r="L224" s="44"/>
      <c r="Q224" s="5"/>
      <c r="AB224" s="9"/>
      <c r="AC224" s="9"/>
      <c r="AG224" s="5"/>
      <c r="AR224" s="38"/>
      <c r="AU224" s="45"/>
    </row>
    <row r="225" spans="1:47" s="36" customFormat="1" ht="12.75" x14ac:dyDescent="0.2">
      <c r="A225" s="5"/>
      <c r="E225" s="5"/>
      <c r="F225" s="132"/>
      <c r="G225" s="132"/>
      <c r="H225" s="9"/>
      <c r="I225" s="9"/>
      <c r="J225" s="9"/>
      <c r="K225" s="9"/>
      <c r="L225" s="44"/>
      <c r="Q225" s="5"/>
      <c r="AB225" s="9"/>
      <c r="AC225" s="9"/>
      <c r="AG225" s="5"/>
      <c r="AR225" s="38"/>
      <c r="AU225" s="45"/>
    </row>
    <row r="226" spans="1:47" s="36" customFormat="1" ht="12.75" x14ac:dyDescent="0.2">
      <c r="A226" s="5"/>
      <c r="E226" s="5"/>
      <c r="F226" s="132"/>
      <c r="G226" s="132"/>
      <c r="H226" s="9"/>
      <c r="I226" s="9"/>
      <c r="J226" s="9"/>
      <c r="K226" s="9"/>
      <c r="L226" s="44"/>
      <c r="Q226" s="5"/>
      <c r="AB226" s="9"/>
      <c r="AC226" s="9"/>
      <c r="AG226" s="5"/>
      <c r="AR226" s="38"/>
      <c r="AU226" s="45"/>
    </row>
    <row r="227" spans="1:47" s="36" customFormat="1" ht="12.75" x14ac:dyDescent="0.2">
      <c r="A227" s="5"/>
      <c r="E227" s="5"/>
      <c r="F227" s="132"/>
      <c r="G227" s="132"/>
      <c r="H227" s="9"/>
      <c r="I227" s="9"/>
      <c r="J227" s="9"/>
      <c r="K227" s="9"/>
      <c r="L227" s="44"/>
      <c r="Q227" s="5"/>
      <c r="AB227" s="9"/>
      <c r="AC227" s="9"/>
      <c r="AG227" s="5"/>
      <c r="AR227" s="38"/>
      <c r="AU227" s="45"/>
    </row>
    <row r="228" spans="1:47" s="36" customFormat="1" ht="12.75" x14ac:dyDescent="0.2">
      <c r="A228" s="5"/>
      <c r="E228" s="5"/>
      <c r="F228" s="132"/>
      <c r="G228" s="132"/>
      <c r="H228" s="9"/>
      <c r="I228" s="9"/>
      <c r="J228" s="9"/>
      <c r="K228" s="9"/>
      <c r="L228" s="44"/>
      <c r="Q228" s="5"/>
      <c r="AB228" s="9"/>
      <c r="AC228" s="9"/>
      <c r="AG228" s="5"/>
      <c r="AR228" s="38"/>
      <c r="AU228" s="45"/>
    </row>
    <row r="229" spans="1:47" s="36" customFormat="1" ht="12.75" x14ac:dyDescent="0.2">
      <c r="A229" s="5"/>
      <c r="E229" s="5"/>
      <c r="F229" s="132"/>
      <c r="G229" s="132"/>
      <c r="H229" s="9"/>
      <c r="I229" s="9"/>
      <c r="J229" s="9"/>
      <c r="K229" s="9"/>
      <c r="L229" s="44"/>
      <c r="Q229" s="5"/>
      <c r="AB229" s="9"/>
      <c r="AC229" s="9"/>
      <c r="AG229" s="5"/>
      <c r="AR229" s="38"/>
      <c r="AU229" s="45"/>
    </row>
    <row r="230" spans="1:47" s="36" customFormat="1" ht="12.75" x14ac:dyDescent="0.2">
      <c r="A230" s="5"/>
      <c r="E230" s="5"/>
      <c r="F230" s="132"/>
      <c r="G230" s="132"/>
      <c r="H230" s="9"/>
      <c r="I230" s="9"/>
      <c r="J230" s="9"/>
      <c r="K230" s="9"/>
      <c r="L230" s="44"/>
      <c r="Q230" s="5"/>
      <c r="AB230" s="9"/>
      <c r="AC230" s="9"/>
      <c r="AG230" s="5"/>
      <c r="AR230" s="38"/>
      <c r="AU230" s="45"/>
    </row>
    <row r="231" spans="1:47" s="36" customFormat="1" ht="12.75" x14ac:dyDescent="0.2">
      <c r="A231" s="5"/>
      <c r="E231" s="5"/>
      <c r="F231" s="132"/>
      <c r="G231" s="132"/>
      <c r="H231" s="9"/>
      <c r="I231" s="9"/>
      <c r="J231" s="9"/>
      <c r="K231" s="9"/>
      <c r="L231" s="44"/>
      <c r="Q231" s="5"/>
      <c r="AB231" s="9"/>
      <c r="AC231" s="9"/>
      <c r="AG231" s="5"/>
      <c r="AR231" s="38"/>
      <c r="AU231" s="45"/>
    </row>
    <row r="232" spans="1:47" s="36" customFormat="1" ht="12.75" x14ac:dyDescent="0.2">
      <c r="A232" s="5"/>
      <c r="E232" s="5"/>
      <c r="F232" s="132"/>
      <c r="G232" s="132"/>
      <c r="H232" s="9"/>
      <c r="I232" s="9"/>
      <c r="J232" s="9"/>
      <c r="K232" s="9"/>
      <c r="L232" s="44"/>
      <c r="Q232" s="5"/>
      <c r="AB232" s="9"/>
      <c r="AC232" s="9"/>
      <c r="AG232" s="5"/>
      <c r="AR232" s="38"/>
      <c r="AU232" s="45"/>
    </row>
    <row r="233" spans="1:47" s="36" customFormat="1" ht="12.75" x14ac:dyDescent="0.2">
      <c r="A233" s="5"/>
      <c r="E233" s="5"/>
      <c r="F233" s="132"/>
      <c r="G233" s="132"/>
      <c r="H233" s="9"/>
      <c r="I233" s="9"/>
      <c r="J233" s="9"/>
      <c r="K233" s="9"/>
      <c r="L233" s="44"/>
      <c r="Q233" s="5"/>
      <c r="AB233" s="9"/>
      <c r="AC233" s="9"/>
      <c r="AG233" s="5"/>
      <c r="AR233" s="38"/>
      <c r="AU233" s="45"/>
    </row>
    <row r="234" spans="1:47" s="36" customFormat="1" ht="12.75" x14ac:dyDescent="0.2">
      <c r="A234" s="5"/>
      <c r="E234" s="5"/>
      <c r="F234" s="132"/>
      <c r="G234" s="132"/>
      <c r="H234" s="9"/>
      <c r="I234" s="9"/>
      <c r="J234" s="9"/>
      <c r="K234" s="9"/>
      <c r="L234" s="44"/>
      <c r="Q234" s="5"/>
      <c r="AB234" s="9"/>
      <c r="AC234" s="9"/>
      <c r="AG234" s="5"/>
      <c r="AR234" s="38"/>
      <c r="AU234" s="45"/>
    </row>
    <row r="235" spans="1:47" s="36" customFormat="1" ht="12.75" x14ac:dyDescent="0.2">
      <c r="A235" s="5"/>
      <c r="E235" s="5"/>
      <c r="F235" s="132"/>
      <c r="G235" s="132"/>
      <c r="H235" s="9"/>
      <c r="I235" s="9"/>
      <c r="J235" s="9"/>
      <c r="K235" s="9"/>
      <c r="L235" s="44"/>
      <c r="Q235" s="5"/>
      <c r="AB235" s="9"/>
      <c r="AC235" s="9"/>
      <c r="AG235" s="5"/>
      <c r="AR235" s="38"/>
      <c r="AU235" s="45"/>
    </row>
    <row r="236" spans="1:47" s="36" customFormat="1" ht="12.75" x14ac:dyDescent="0.2">
      <c r="A236" s="5"/>
      <c r="E236" s="5"/>
      <c r="F236" s="132"/>
      <c r="G236" s="132"/>
      <c r="H236" s="9"/>
      <c r="I236" s="9"/>
      <c r="J236" s="9"/>
      <c r="K236" s="9"/>
      <c r="L236" s="44"/>
      <c r="Q236" s="5"/>
      <c r="AB236" s="9"/>
      <c r="AC236" s="9"/>
      <c r="AG236" s="5"/>
      <c r="AR236" s="38"/>
      <c r="AU236" s="45"/>
    </row>
    <row r="237" spans="1:47" s="36" customFormat="1" ht="12.75" x14ac:dyDescent="0.2">
      <c r="A237" s="5"/>
      <c r="E237" s="5"/>
      <c r="F237" s="132"/>
      <c r="G237" s="132"/>
      <c r="H237" s="9"/>
      <c r="I237" s="9"/>
      <c r="J237" s="9"/>
      <c r="K237" s="9"/>
      <c r="L237" s="44"/>
      <c r="Q237" s="5"/>
      <c r="AB237" s="9"/>
      <c r="AC237" s="9"/>
      <c r="AG237" s="5"/>
      <c r="AR237" s="38"/>
      <c r="AU237" s="45"/>
    </row>
    <row r="238" spans="1:47" s="36" customFormat="1" ht="12.75" x14ac:dyDescent="0.2">
      <c r="A238" s="5"/>
      <c r="E238" s="5"/>
      <c r="F238" s="132"/>
      <c r="G238" s="132"/>
      <c r="H238" s="9"/>
      <c r="I238" s="9"/>
      <c r="J238" s="9"/>
      <c r="K238" s="9"/>
      <c r="L238" s="44"/>
      <c r="Q238" s="5"/>
      <c r="AB238" s="9"/>
      <c r="AC238" s="9"/>
      <c r="AG238" s="5"/>
      <c r="AR238" s="38"/>
      <c r="AU238" s="45"/>
    </row>
    <row r="239" spans="1:47" s="36" customFormat="1" ht="12.75" x14ac:dyDescent="0.2">
      <c r="A239" s="5"/>
      <c r="E239" s="5"/>
      <c r="F239" s="132"/>
      <c r="G239" s="132"/>
      <c r="H239" s="9"/>
      <c r="I239" s="9"/>
      <c r="J239" s="9"/>
      <c r="K239" s="9"/>
      <c r="L239" s="44"/>
      <c r="Q239" s="5"/>
      <c r="AB239" s="9"/>
      <c r="AC239" s="9"/>
      <c r="AG239" s="5"/>
      <c r="AR239" s="38"/>
      <c r="AU239" s="45"/>
    </row>
    <row r="240" spans="1:47" s="36" customFormat="1" ht="12.75" x14ac:dyDescent="0.2">
      <c r="A240" s="5"/>
      <c r="E240" s="5"/>
      <c r="F240" s="132"/>
      <c r="G240" s="132"/>
      <c r="H240" s="9"/>
      <c r="I240" s="9"/>
      <c r="J240" s="9"/>
      <c r="K240" s="9"/>
      <c r="L240" s="44"/>
      <c r="Q240" s="5"/>
      <c r="AB240" s="9"/>
      <c r="AC240" s="9"/>
      <c r="AG240" s="5"/>
      <c r="AR240" s="38"/>
      <c r="AU240" s="45"/>
    </row>
    <row r="241" spans="1:47" s="36" customFormat="1" ht="12.75" x14ac:dyDescent="0.2">
      <c r="A241" s="5"/>
      <c r="E241" s="5"/>
      <c r="F241" s="132"/>
      <c r="G241" s="132"/>
      <c r="H241" s="9"/>
      <c r="I241" s="9"/>
      <c r="J241" s="9"/>
      <c r="K241" s="9"/>
      <c r="L241" s="44"/>
      <c r="Q241" s="5"/>
      <c r="AB241" s="9"/>
      <c r="AC241" s="9"/>
      <c r="AG241" s="5"/>
      <c r="AR241" s="38"/>
      <c r="AU241" s="45"/>
    </row>
    <row r="242" spans="1:47" s="36" customFormat="1" ht="12.75" x14ac:dyDescent="0.2">
      <c r="A242" s="5"/>
      <c r="E242" s="5"/>
      <c r="F242" s="132"/>
      <c r="G242" s="132"/>
      <c r="H242" s="9"/>
      <c r="I242" s="9"/>
      <c r="J242" s="9"/>
      <c r="K242" s="9"/>
      <c r="L242" s="44"/>
      <c r="Q242" s="5"/>
      <c r="AB242" s="9"/>
      <c r="AC242" s="9"/>
      <c r="AG242" s="5"/>
      <c r="AR242" s="38"/>
      <c r="AU242" s="45"/>
    </row>
    <row r="243" spans="1:47" s="36" customFormat="1" ht="12.75" x14ac:dyDescent="0.2">
      <c r="A243" s="5"/>
      <c r="E243" s="5"/>
      <c r="F243" s="132"/>
      <c r="G243" s="132"/>
      <c r="H243" s="9"/>
      <c r="I243" s="9"/>
      <c r="J243" s="9"/>
      <c r="K243" s="9"/>
      <c r="L243" s="44"/>
      <c r="Q243" s="5"/>
      <c r="AB243" s="9"/>
      <c r="AC243" s="9"/>
      <c r="AG243" s="5"/>
      <c r="AR243" s="38"/>
      <c r="AU243" s="45"/>
    </row>
    <row r="244" spans="1:47" s="36" customFormat="1" ht="12.75" x14ac:dyDescent="0.2">
      <c r="A244" s="5"/>
      <c r="E244" s="5"/>
      <c r="F244" s="132"/>
      <c r="G244" s="132"/>
      <c r="H244" s="9"/>
      <c r="I244" s="9"/>
      <c r="J244" s="9"/>
      <c r="K244" s="9"/>
      <c r="L244" s="44"/>
      <c r="Q244" s="5"/>
      <c r="AB244" s="9"/>
      <c r="AC244" s="9"/>
      <c r="AG244" s="5"/>
      <c r="AR244" s="38"/>
      <c r="AU244" s="45"/>
    </row>
    <row r="245" spans="1:47" s="36" customFormat="1" ht="12.75" x14ac:dyDescent="0.2">
      <c r="A245" s="5"/>
      <c r="E245" s="5"/>
      <c r="F245" s="132"/>
      <c r="G245" s="132"/>
      <c r="H245" s="9"/>
      <c r="I245" s="9"/>
      <c r="J245" s="9"/>
      <c r="K245" s="9"/>
      <c r="L245" s="44"/>
      <c r="Q245" s="5"/>
      <c r="AB245" s="9"/>
      <c r="AC245" s="9"/>
      <c r="AG245" s="5"/>
      <c r="AR245" s="38"/>
      <c r="AU245" s="45"/>
    </row>
    <row r="246" spans="1:47" s="36" customFormat="1" ht="12.75" x14ac:dyDescent="0.2">
      <c r="A246" s="5"/>
      <c r="E246" s="5"/>
      <c r="F246" s="132"/>
      <c r="G246" s="132"/>
      <c r="H246" s="9"/>
      <c r="I246" s="9"/>
      <c r="J246" s="9"/>
      <c r="K246" s="9"/>
      <c r="L246" s="44"/>
      <c r="Q246" s="5"/>
      <c r="AB246" s="9"/>
      <c r="AC246" s="9"/>
      <c r="AG246" s="5"/>
      <c r="AR246" s="38"/>
      <c r="AU246" s="45"/>
    </row>
    <row r="247" spans="1:47" s="36" customFormat="1" ht="12.75" x14ac:dyDescent="0.2">
      <c r="A247" s="5"/>
      <c r="E247" s="5"/>
      <c r="F247" s="132"/>
      <c r="G247" s="132"/>
      <c r="H247" s="9"/>
      <c r="I247" s="9"/>
      <c r="J247" s="9"/>
      <c r="K247" s="9"/>
      <c r="L247" s="44"/>
      <c r="Q247" s="5"/>
      <c r="AB247" s="9"/>
      <c r="AC247" s="9"/>
      <c r="AG247" s="5"/>
      <c r="AR247" s="38"/>
      <c r="AU247" s="45"/>
    </row>
    <row r="248" spans="1:47" s="36" customFormat="1" ht="12.75" x14ac:dyDescent="0.2">
      <c r="A248" s="5"/>
      <c r="E248" s="5"/>
      <c r="F248" s="132"/>
      <c r="G248" s="132"/>
      <c r="H248" s="9"/>
      <c r="I248" s="9"/>
      <c r="J248" s="9"/>
      <c r="K248" s="9"/>
      <c r="L248" s="44"/>
      <c r="Q248" s="5"/>
      <c r="AB248" s="9"/>
      <c r="AC248" s="9"/>
      <c r="AG248" s="5"/>
      <c r="AR248" s="38"/>
      <c r="AU248" s="45"/>
    </row>
    <row r="249" spans="1:47" s="36" customFormat="1" ht="12.75" x14ac:dyDescent="0.2">
      <c r="A249" s="5"/>
      <c r="E249" s="5"/>
      <c r="F249" s="132"/>
      <c r="G249" s="132"/>
      <c r="H249" s="9"/>
      <c r="I249" s="9"/>
      <c r="J249" s="9"/>
      <c r="K249" s="9"/>
      <c r="L249" s="44"/>
      <c r="Q249" s="5"/>
      <c r="AB249" s="9"/>
      <c r="AC249" s="9"/>
      <c r="AG249" s="5"/>
      <c r="AR249" s="38"/>
      <c r="AU249" s="45"/>
    </row>
    <row r="250" spans="1:47" s="36" customFormat="1" ht="12.75" x14ac:dyDescent="0.2">
      <c r="A250" s="5"/>
      <c r="E250" s="5"/>
      <c r="F250" s="132"/>
      <c r="G250" s="132"/>
      <c r="H250" s="9"/>
      <c r="I250" s="9"/>
      <c r="J250" s="9"/>
      <c r="K250" s="9"/>
      <c r="L250" s="44"/>
      <c r="Q250" s="5"/>
      <c r="AB250" s="9"/>
      <c r="AC250" s="9"/>
      <c r="AG250" s="5"/>
      <c r="AR250" s="38"/>
      <c r="AU250" s="45"/>
    </row>
    <row r="251" spans="1:47" s="36" customFormat="1" ht="12.75" x14ac:dyDescent="0.2">
      <c r="A251" s="5"/>
      <c r="E251" s="5"/>
      <c r="F251" s="132"/>
      <c r="G251" s="132"/>
      <c r="H251" s="9"/>
      <c r="I251" s="9"/>
      <c r="J251" s="9"/>
      <c r="K251" s="9"/>
      <c r="L251" s="44"/>
      <c r="Q251" s="5"/>
      <c r="AB251" s="9"/>
      <c r="AC251" s="9"/>
      <c r="AG251" s="5"/>
      <c r="AR251" s="38"/>
      <c r="AU251" s="45"/>
    </row>
    <row r="252" spans="1:47" s="36" customFormat="1" ht="12.75" x14ac:dyDescent="0.2">
      <c r="A252" s="5"/>
      <c r="E252" s="5"/>
      <c r="F252" s="132"/>
      <c r="G252" s="132"/>
      <c r="H252" s="9"/>
      <c r="I252" s="9"/>
      <c r="J252" s="9"/>
      <c r="K252" s="9"/>
      <c r="L252" s="44"/>
      <c r="Q252" s="5"/>
      <c r="AB252" s="9"/>
      <c r="AC252" s="9"/>
      <c r="AG252" s="5"/>
      <c r="AR252" s="38"/>
      <c r="AU252" s="45"/>
    </row>
    <row r="253" spans="1:47" s="36" customFormat="1" ht="12.75" x14ac:dyDescent="0.2">
      <c r="A253" s="5"/>
      <c r="E253" s="5"/>
      <c r="F253" s="132"/>
      <c r="G253" s="132"/>
      <c r="H253" s="9"/>
      <c r="I253" s="9"/>
      <c r="J253" s="9"/>
      <c r="K253" s="9"/>
      <c r="L253" s="44"/>
      <c r="Q253" s="5"/>
      <c r="AB253" s="9"/>
      <c r="AC253" s="9"/>
      <c r="AG253" s="5"/>
      <c r="AR253" s="38"/>
      <c r="AU253" s="45"/>
    </row>
    <row r="254" spans="1:47" s="36" customFormat="1" ht="12.75" x14ac:dyDescent="0.2">
      <c r="A254" s="5"/>
      <c r="E254" s="5"/>
      <c r="F254" s="132"/>
      <c r="G254" s="132"/>
      <c r="H254" s="9"/>
      <c r="I254" s="9"/>
      <c r="J254" s="9"/>
      <c r="K254" s="9"/>
      <c r="L254" s="44"/>
      <c r="Q254" s="5"/>
      <c r="AB254" s="9"/>
      <c r="AC254" s="9"/>
      <c r="AG254" s="5"/>
      <c r="AR254" s="38"/>
      <c r="AU254" s="45"/>
    </row>
    <row r="255" spans="1:47" s="36" customFormat="1" ht="12.75" x14ac:dyDescent="0.2">
      <c r="A255" s="5"/>
      <c r="E255" s="5"/>
      <c r="F255" s="132"/>
      <c r="G255" s="132"/>
      <c r="H255" s="9"/>
      <c r="I255" s="9"/>
      <c r="J255" s="9"/>
      <c r="K255" s="9"/>
      <c r="L255" s="44"/>
      <c r="Q255" s="5"/>
      <c r="AB255" s="9"/>
      <c r="AC255" s="9"/>
      <c r="AG255" s="5"/>
      <c r="AR255" s="38"/>
      <c r="AU255" s="45"/>
    </row>
    <row r="256" spans="1:47" s="36" customFormat="1" ht="12.75" x14ac:dyDescent="0.2">
      <c r="A256" s="5"/>
      <c r="E256" s="5"/>
      <c r="F256" s="132"/>
      <c r="G256" s="132"/>
      <c r="H256" s="9"/>
      <c r="I256" s="9"/>
      <c r="J256" s="9"/>
      <c r="K256" s="9"/>
      <c r="L256" s="44"/>
      <c r="Q256" s="5"/>
      <c r="AB256" s="9"/>
      <c r="AC256" s="9"/>
      <c r="AG256" s="5"/>
      <c r="AR256" s="38"/>
      <c r="AU256" s="45"/>
    </row>
    <row r="257" spans="1:47" s="36" customFormat="1" ht="12.75" x14ac:dyDescent="0.2">
      <c r="A257" s="5"/>
      <c r="E257" s="5"/>
      <c r="F257" s="132"/>
      <c r="G257" s="132"/>
      <c r="H257" s="9"/>
      <c r="I257" s="9"/>
      <c r="J257" s="9"/>
      <c r="K257" s="9"/>
      <c r="L257" s="44"/>
      <c r="Q257" s="5"/>
      <c r="AB257" s="9"/>
      <c r="AC257" s="9"/>
      <c r="AG257" s="5"/>
      <c r="AR257" s="38"/>
      <c r="AU257" s="45"/>
    </row>
    <row r="258" spans="1:47" s="36" customFormat="1" ht="12.75" x14ac:dyDescent="0.2">
      <c r="A258" s="5"/>
      <c r="E258" s="5"/>
      <c r="F258" s="132"/>
      <c r="G258" s="132"/>
      <c r="H258" s="9"/>
      <c r="I258" s="9"/>
      <c r="J258" s="9"/>
      <c r="K258" s="9"/>
      <c r="L258" s="44"/>
      <c r="Q258" s="5"/>
      <c r="AB258" s="9"/>
      <c r="AC258" s="9"/>
      <c r="AG258" s="5"/>
      <c r="AR258" s="38"/>
      <c r="AU258" s="45"/>
    </row>
    <row r="259" spans="1:47" s="36" customFormat="1" ht="12.75" x14ac:dyDescent="0.2">
      <c r="A259" s="5"/>
      <c r="E259" s="5"/>
      <c r="F259" s="132"/>
      <c r="G259" s="132"/>
      <c r="H259" s="9"/>
      <c r="I259" s="9"/>
      <c r="J259" s="9"/>
      <c r="K259" s="9"/>
      <c r="L259" s="44"/>
      <c r="Q259" s="5"/>
      <c r="AB259" s="9"/>
      <c r="AC259" s="9"/>
      <c r="AG259" s="5"/>
      <c r="AR259" s="38"/>
      <c r="AU259" s="45"/>
    </row>
    <row r="260" spans="1:47" s="36" customFormat="1" ht="12.75" x14ac:dyDescent="0.2">
      <c r="A260" s="5"/>
      <c r="E260" s="5"/>
      <c r="F260" s="132"/>
      <c r="G260" s="132"/>
      <c r="H260" s="9"/>
      <c r="I260" s="9"/>
      <c r="J260" s="9"/>
      <c r="K260" s="9"/>
      <c r="L260" s="44"/>
      <c r="Q260" s="5"/>
      <c r="AB260" s="9"/>
      <c r="AC260" s="9"/>
      <c r="AG260" s="5"/>
      <c r="AR260" s="38"/>
      <c r="AU260" s="45"/>
    </row>
    <row r="261" spans="1:47" s="36" customFormat="1" ht="12.75" x14ac:dyDescent="0.2">
      <c r="A261" s="5"/>
      <c r="E261" s="5"/>
      <c r="F261" s="132"/>
      <c r="G261" s="132"/>
      <c r="H261" s="9"/>
      <c r="I261" s="9"/>
      <c r="J261" s="9"/>
      <c r="K261" s="9"/>
      <c r="L261" s="44"/>
      <c r="Q261" s="5"/>
      <c r="AB261" s="9"/>
      <c r="AC261" s="9"/>
      <c r="AG261" s="5"/>
      <c r="AR261" s="38"/>
      <c r="AU261" s="45"/>
    </row>
    <row r="262" spans="1:47" s="36" customFormat="1" ht="12.75" x14ac:dyDescent="0.2">
      <c r="A262" s="5"/>
      <c r="E262" s="5"/>
      <c r="F262" s="132"/>
      <c r="G262" s="132"/>
      <c r="H262" s="9"/>
      <c r="I262" s="9"/>
      <c r="J262" s="9"/>
      <c r="K262" s="9"/>
      <c r="L262" s="44"/>
      <c r="Q262" s="5"/>
      <c r="AB262" s="9"/>
      <c r="AC262" s="9"/>
      <c r="AG262" s="5"/>
      <c r="AR262" s="38"/>
      <c r="AU262" s="45"/>
    </row>
    <row r="263" spans="1:47" s="36" customFormat="1" ht="12.75" x14ac:dyDescent="0.2">
      <c r="A263" s="5"/>
      <c r="E263" s="5"/>
      <c r="F263" s="132"/>
      <c r="G263" s="132"/>
      <c r="H263" s="9"/>
      <c r="I263" s="9"/>
      <c r="J263" s="9"/>
      <c r="K263" s="9"/>
      <c r="L263" s="44"/>
      <c r="Q263" s="5"/>
      <c r="AB263" s="9"/>
      <c r="AC263" s="9"/>
      <c r="AG263" s="5"/>
      <c r="AR263" s="38"/>
      <c r="AU263" s="45"/>
    </row>
    <row r="264" spans="1:47" s="36" customFormat="1" ht="12.75" x14ac:dyDescent="0.2">
      <c r="A264" s="5"/>
      <c r="E264" s="5"/>
      <c r="F264" s="132"/>
      <c r="G264" s="132"/>
      <c r="H264" s="9"/>
      <c r="I264" s="9"/>
      <c r="J264" s="9"/>
      <c r="K264" s="9"/>
      <c r="L264" s="44"/>
      <c r="Q264" s="5"/>
      <c r="AB264" s="9"/>
      <c r="AC264" s="9"/>
      <c r="AG264" s="5"/>
      <c r="AR264" s="38"/>
      <c r="AU264" s="45"/>
    </row>
    <row r="265" spans="1:47" s="36" customFormat="1" ht="12.75" x14ac:dyDescent="0.2">
      <c r="A265" s="5"/>
      <c r="E265" s="5"/>
      <c r="F265" s="132"/>
      <c r="G265" s="132"/>
      <c r="H265" s="9"/>
      <c r="I265" s="9"/>
      <c r="J265" s="9"/>
      <c r="K265" s="9"/>
      <c r="L265" s="44"/>
      <c r="Q265" s="5"/>
      <c r="AB265" s="9"/>
      <c r="AC265" s="9"/>
      <c r="AG265" s="5"/>
      <c r="AR265" s="38"/>
      <c r="AU265" s="45"/>
    </row>
    <row r="266" spans="1:47" s="36" customFormat="1" ht="12.75" x14ac:dyDescent="0.2">
      <c r="A266" s="5"/>
      <c r="E266" s="5"/>
      <c r="F266" s="132"/>
      <c r="G266" s="132"/>
      <c r="H266" s="9"/>
      <c r="I266" s="9"/>
      <c r="J266" s="9"/>
      <c r="K266" s="9"/>
      <c r="L266" s="44"/>
      <c r="Q266" s="5"/>
      <c r="AB266" s="9"/>
      <c r="AC266" s="9"/>
      <c r="AG266" s="5"/>
      <c r="AR266" s="38"/>
      <c r="AU266" s="45"/>
    </row>
    <row r="267" spans="1:47" s="36" customFormat="1" ht="12.75" x14ac:dyDescent="0.2">
      <c r="A267" s="5"/>
      <c r="E267" s="5"/>
      <c r="F267" s="132"/>
      <c r="G267" s="132"/>
      <c r="H267" s="9"/>
      <c r="I267" s="9"/>
      <c r="J267" s="9"/>
      <c r="K267" s="9"/>
      <c r="L267" s="44"/>
      <c r="Q267" s="5"/>
      <c r="AB267" s="9"/>
      <c r="AC267" s="9"/>
      <c r="AG267" s="5"/>
      <c r="AR267" s="38"/>
      <c r="AU267" s="45"/>
    </row>
    <row r="268" spans="1:47" s="36" customFormat="1" ht="12.75" x14ac:dyDescent="0.2">
      <c r="A268" s="5"/>
      <c r="E268" s="5"/>
      <c r="F268" s="132"/>
      <c r="G268" s="132"/>
      <c r="H268" s="9"/>
      <c r="I268" s="9"/>
      <c r="J268" s="9"/>
      <c r="K268" s="9"/>
      <c r="L268" s="44"/>
      <c r="Q268" s="5"/>
      <c r="AB268" s="9"/>
      <c r="AC268" s="9"/>
      <c r="AG268" s="5"/>
      <c r="AR268" s="38"/>
      <c r="AU268" s="45"/>
    </row>
    <row r="269" spans="1:47" s="36" customFormat="1" ht="12.75" x14ac:dyDescent="0.2">
      <c r="A269" s="5"/>
      <c r="E269" s="5"/>
      <c r="F269" s="132"/>
      <c r="G269" s="132"/>
      <c r="H269" s="9"/>
      <c r="I269" s="9"/>
      <c r="J269" s="9"/>
      <c r="K269" s="9"/>
      <c r="L269" s="44"/>
      <c r="Q269" s="5"/>
      <c r="AB269" s="9"/>
      <c r="AC269" s="9"/>
      <c r="AG269" s="5"/>
      <c r="AR269" s="38"/>
      <c r="AU269" s="45"/>
    </row>
    <row r="270" spans="1:47" s="36" customFormat="1" ht="12.75" x14ac:dyDescent="0.2">
      <c r="A270" s="5"/>
      <c r="E270" s="5"/>
      <c r="F270" s="132"/>
      <c r="G270" s="132"/>
      <c r="H270" s="9"/>
      <c r="I270" s="9"/>
      <c r="J270" s="9"/>
      <c r="K270" s="9"/>
      <c r="L270" s="44"/>
      <c r="Q270" s="5"/>
      <c r="AB270" s="9"/>
      <c r="AC270" s="9"/>
      <c r="AG270" s="5"/>
      <c r="AR270" s="38"/>
      <c r="AU270" s="45"/>
    </row>
    <row r="271" spans="1:47" s="36" customFormat="1" ht="12.75" x14ac:dyDescent="0.2">
      <c r="A271" s="5"/>
      <c r="E271" s="5"/>
      <c r="F271" s="132"/>
      <c r="G271" s="132"/>
      <c r="H271" s="9"/>
      <c r="I271" s="9"/>
      <c r="J271" s="9"/>
      <c r="K271" s="9"/>
      <c r="L271" s="44"/>
      <c r="Q271" s="5"/>
      <c r="AB271" s="9"/>
      <c r="AC271" s="9"/>
      <c r="AG271" s="5"/>
      <c r="AR271" s="38"/>
      <c r="AU271" s="45"/>
    </row>
    <row r="272" spans="1:47" s="36" customFormat="1" ht="12.75" x14ac:dyDescent="0.2">
      <c r="A272" s="5"/>
      <c r="E272" s="5"/>
      <c r="F272" s="132"/>
      <c r="G272" s="132"/>
      <c r="H272" s="9"/>
      <c r="I272" s="9"/>
      <c r="J272" s="9"/>
      <c r="K272" s="9"/>
      <c r="L272" s="44"/>
      <c r="Q272" s="5"/>
      <c r="AB272" s="9"/>
      <c r="AC272" s="9"/>
      <c r="AG272" s="5"/>
      <c r="AR272" s="38"/>
      <c r="AU272" s="45"/>
    </row>
    <row r="273" spans="1:47" s="36" customFormat="1" ht="12.75" x14ac:dyDescent="0.2">
      <c r="A273" s="5"/>
      <c r="E273" s="5"/>
      <c r="F273" s="132"/>
      <c r="G273" s="132"/>
      <c r="H273" s="9"/>
      <c r="I273" s="9"/>
      <c r="J273" s="9"/>
      <c r="K273" s="9"/>
      <c r="L273" s="44"/>
      <c r="Q273" s="5"/>
      <c r="AB273" s="9"/>
      <c r="AC273" s="9"/>
      <c r="AG273" s="5"/>
      <c r="AR273" s="38"/>
      <c r="AU273" s="45"/>
    </row>
    <row r="274" spans="1:47" s="36" customFormat="1" ht="12.75" x14ac:dyDescent="0.2">
      <c r="A274" s="5"/>
      <c r="E274" s="5"/>
      <c r="F274" s="132"/>
      <c r="G274" s="132"/>
      <c r="H274" s="9"/>
      <c r="I274" s="9"/>
      <c r="J274" s="9"/>
      <c r="K274" s="9"/>
      <c r="L274" s="44"/>
      <c r="Q274" s="5"/>
      <c r="AB274" s="9"/>
      <c r="AC274" s="9"/>
      <c r="AG274" s="5"/>
      <c r="AR274" s="38"/>
      <c r="AU274" s="45"/>
    </row>
    <row r="275" spans="1:47" s="36" customFormat="1" ht="12.75" x14ac:dyDescent="0.2">
      <c r="A275" s="5"/>
      <c r="E275" s="5"/>
      <c r="F275" s="132"/>
      <c r="G275" s="132"/>
      <c r="H275" s="9"/>
      <c r="I275" s="9"/>
      <c r="J275" s="9"/>
      <c r="K275" s="9"/>
      <c r="L275" s="44"/>
      <c r="Q275" s="5"/>
      <c r="AB275" s="9"/>
      <c r="AC275" s="9"/>
      <c r="AG275" s="5"/>
      <c r="AR275" s="38"/>
      <c r="AU275" s="45"/>
    </row>
    <row r="276" spans="1:47" s="36" customFormat="1" ht="12.75" x14ac:dyDescent="0.2">
      <c r="A276" s="5"/>
      <c r="E276" s="5"/>
      <c r="F276" s="132"/>
      <c r="G276" s="132"/>
      <c r="H276" s="9"/>
      <c r="I276" s="9"/>
      <c r="J276" s="9"/>
      <c r="K276" s="9"/>
      <c r="L276" s="44"/>
      <c r="Q276" s="5"/>
      <c r="AB276" s="9"/>
      <c r="AC276" s="9"/>
      <c r="AG276" s="5"/>
      <c r="AR276" s="38"/>
      <c r="AU276" s="45"/>
    </row>
    <row r="277" spans="1:47" s="36" customFormat="1" ht="12.75" x14ac:dyDescent="0.2">
      <c r="A277" s="5"/>
      <c r="E277" s="5"/>
      <c r="F277" s="132"/>
      <c r="G277" s="132"/>
      <c r="H277" s="9"/>
      <c r="I277" s="9"/>
      <c r="J277" s="9"/>
      <c r="K277" s="9"/>
      <c r="L277" s="44"/>
      <c r="Q277" s="5"/>
      <c r="AB277" s="9"/>
      <c r="AC277" s="9"/>
      <c r="AG277" s="5"/>
      <c r="AR277" s="38"/>
      <c r="AU277" s="45"/>
    </row>
    <row r="278" spans="1:47" s="36" customFormat="1" ht="12.75" x14ac:dyDescent="0.2">
      <c r="A278" s="5"/>
      <c r="E278" s="5"/>
      <c r="F278" s="132"/>
      <c r="G278" s="132"/>
      <c r="H278" s="9"/>
      <c r="I278" s="9"/>
      <c r="J278" s="9"/>
      <c r="K278" s="9"/>
      <c r="L278" s="44"/>
      <c r="Q278" s="5"/>
      <c r="AB278" s="9"/>
      <c r="AC278" s="9"/>
      <c r="AG278" s="5"/>
      <c r="AR278" s="38"/>
      <c r="AU278" s="45"/>
    </row>
    <row r="279" spans="1:47" s="36" customFormat="1" ht="12.75" x14ac:dyDescent="0.2">
      <c r="A279" s="5"/>
      <c r="E279" s="5"/>
      <c r="F279" s="132"/>
      <c r="G279" s="132"/>
      <c r="H279" s="9"/>
      <c r="I279" s="9"/>
      <c r="J279" s="9"/>
      <c r="K279" s="9"/>
      <c r="L279" s="44"/>
      <c r="Q279" s="5"/>
      <c r="AB279" s="9"/>
      <c r="AC279" s="9"/>
      <c r="AG279" s="5"/>
      <c r="AR279" s="38"/>
      <c r="AU279" s="45"/>
    </row>
    <row r="280" spans="1:47" s="36" customFormat="1" ht="12.75" x14ac:dyDescent="0.2">
      <c r="A280" s="5"/>
      <c r="E280" s="5"/>
      <c r="F280" s="132"/>
      <c r="G280" s="132"/>
      <c r="H280" s="9"/>
      <c r="I280" s="9"/>
      <c r="J280" s="9"/>
      <c r="K280" s="9"/>
      <c r="L280" s="44"/>
      <c r="Q280" s="5"/>
      <c r="AB280" s="9"/>
      <c r="AC280" s="9"/>
      <c r="AG280" s="5"/>
      <c r="AR280" s="38"/>
      <c r="AU280" s="45"/>
    </row>
    <row r="281" spans="1:47" s="36" customFormat="1" ht="12.75" x14ac:dyDescent="0.2">
      <c r="A281" s="5"/>
      <c r="E281" s="5"/>
      <c r="F281" s="132"/>
      <c r="G281" s="132"/>
      <c r="H281" s="9"/>
      <c r="I281" s="9"/>
      <c r="J281" s="9"/>
      <c r="K281" s="9"/>
      <c r="L281" s="44"/>
      <c r="Q281" s="5"/>
      <c r="AB281" s="9"/>
      <c r="AC281" s="9"/>
      <c r="AG281" s="5"/>
      <c r="AR281" s="38"/>
      <c r="AU281" s="45"/>
    </row>
    <row r="282" spans="1:47" s="36" customFormat="1" ht="12.75" x14ac:dyDescent="0.2">
      <c r="A282" s="5"/>
      <c r="E282" s="5"/>
      <c r="F282" s="132"/>
      <c r="G282" s="132"/>
      <c r="H282" s="9"/>
      <c r="I282" s="9"/>
      <c r="J282" s="9"/>
      <c r="K282" s="9"/>
      <c r="L282" s="44"/>
      <c r="Q282" s="5"/>
      <c r="AB282" s="9"/>
      <c r="AC282" s="9"/>
      <c r="AG282" s="5"/>
      <c r="AR282" s="38"/>
      <c r="AU282" s="45"/>
    </row>
    <row r="283" spans="1:47" s="36" customFormat="1" ht="12.75" x14ac:dyDescent="0.2">
      <c r="A283" s="5"/>
      <c r="E283" s="5"/>
      <c r="F283" s="132"/>
      <c r="G283" s="132"/>
      <c r="H283" s="9"/>
      <c r="I283" s="9"/>
      <c r="J283" s="9"/>
      <c r="K283" s="9"/>
      <c r="L283" s="44"/>
      <c r="Q283" s="5"/>
      <c r="AB283" s="9"/>
      <c r="AC283" s="9"/>
      <c r="AG283" s="5"/>
      <c r="AR283" s="38"/>
      <c r="AU283" s="45"/>
    </row>
    <row r="284" spans="1:47" s="36" customFormat="1" ht="12.75" x14ac:dyDescent="0.2">
      <c r="A284" s="5"/>
      <c r="E284" s="5"/>
      <c r="F284" s="132"/>
      <c r="G284" s="132"/>
      <c r="H284" s="9"/>
      <c r="I284" s="9"/>
      <c r="J284" s="9"/>
      <c r="K284" s="9"/>
      <c r="L284" s="44"/>
      <c r="Q284" s="5"/>
      <c r="AB284" s="9"/>
      <c r="AC284" s="9"/>
      <c r="AG284" s="5"/>
      <c r="AR284" s="38"/>
      <c r="AU284" s="45"/>
    </row>
    <row r="285" spans="1:47" s="36" customFormat="1" ht="12.75" x14ac:dyDescent="0.2">
      <c r="A285" s="5"/>
      <c r="E285" s="5"/>
      <c r="F285" s="132"/>
      <c r="G285" s="132"/>
      <c r="H285" s="9"/>
      <c r="I285" s="9"/>
      <c r="J285" s="9"/>
      <c r="K285" s="9"/>
      <c r="L285" s="44"/>
      <c r="Q285" s="5"/>
      <c r="AB285" s="9"/>
      <c r="AC285" s="9"/>
      <c r="AG285" s="5"/>
      <c r="AR285" s="38"/>
      <c r="AU285" s="45"/>
    </row>
    <row r="286" spans="1:47" s="36" customFormat="1" ht="12.75" x14ac:dyDescent="0.2">
      <c r="A286" s="5"/>
      <c r="E286" s="5"/>
      <c r="F286" s="132"/>
      <c r="G286" s="132"/>
      <c r="H286" s="9"/>
      <c r="I286" s="9"/>
      <c r="J286" s="9"/>
      <c r="K286" s="9"/>
      <c r="L286" s="44"/>
      <c r="Q286" s="5"/>
      <c r="AB286" s="9"/>
      <c r="AC286" s="9"/>
      <c r="AG286" s="5"/>
      <c r="AR286" s="38"/>
      <c r="AU286" s="45"/>
    </row>
    <row r="287" spans="1:47" s="36" customFormat="1" ht="12.75" x14ac:dyDescent="0.2">
      <c r="A287" s="5"/>
      <c r="E287" s="5"/>
      <c r="F287" s="132"/>
      <c r="G287" s="132"/>
      <c r="H287" s="9"/>
      <c r="I287" s="9"/>
      <c r="J287" s="9"/>
      <c r="K287" s="9"/>
      <c r="L287" s="44"/>
      <c r="Q287" s="5"/>
      <c r="AB287" s="9"/>
      <c r="AC287" s="9"/>
      <c r="AG287" s="5"/>
      <c r="AR287" s="38"/>
      <c r="AU287" s="45"/>
    </row>
    <row r="288" spans="1:47" s="36" customFormat="1" ht="12.75" x14ac:dyDescent="0.2">
      <c r="A288" s="5"/>
      <c r="E288" s="5"/>
      <c r="F288" s="132"/>
      <c r="G288" s="132"/>
      <c r="H288" s="9"/>
      <c r="I288" s="9"/>
      <c r="J288" s="9"/>
      <c r="K288" s="9"/>
      <c r="L288" s="44"/>
      <c r="Q288" s="5"/>
      <c r="AB288" s="9"/>
      <c r="AC288" s="9"/>
      <c r="AG288" s="5"/>
      <c r="AR288" s="38"/>
      <c r="AU288" s="45"/>
    </row>
    <row r="289" spans="1:47" s="36" customFormat="1" ht="12.75" x14ac:dyDescent="0.2">
      <c r="A289" s="5"/>
      <c r="E289" s="5"/>
      <c r="F289" s="132"/>
      <c r="G289" s="132"/>
      <c r="H289" s="9"/>
      <c r="I289" s="9"/>
      <c r="J289" s="9"/>
      <c r="K289" s="9"/>
      <c r="L289" s="44"/>
      <c r="Q289" s="5"/>
      <c r="AB289" s="9"/>
      <c r="AC289" s="9"/>
      <c r="AG289" s="5"/>
      <c r="AR289" s="38"/>
      <c r="AU289" s="45"/>
    </row>
    <row r="290" spans="1:47" s="36" customFormat="1" ht="12.75" x14ac:dyDescent="0.2">
      <c r="A290" s="5"/>
      <c r="E290" s="5"/>
      <c r="F290" s="132"/>
      <c r="G290" s="132"/>
      <c r="H290" s="9"/>
      <c r="I290" s="9"/>
      <c r="J290" s="9"/>
      <c r="K290" s="9"/>
      <c r="L290" s="44"/>
      <c r="Q290" s="5"/>
      <c r="AB290" s="9"/>
      <c r="AC290" s="9"/>
      <c r="AG290" s="5"/>
      <c r="AR290" s="38"/>
      <c r="AU290" s="45"/>
    </row>
    <row r="291" spans="1:47" s="36" customFormat="1" ht="12.75" x14ac:dyDescent="0.2">
      <c r="A291" s="5"/>
      <c r="E291" s="5"/>
      <c r="F291" s="132"/>
      <c r="G291" s="132"/>
      <c r="H291" s="9"/>
      <c r="I291" s="9"/>
      <c r="J291" s="9"/>
      <c r="K291" s="9"/>
      <c r="L291" s="44"/>
      <c r="Q291" s="5"/>
      <c r="AB291" s="9"/>
      <c r="AC291" s="9"/>
      <c r="AG291" s="5"/>
      <c r="AR291" s="38"/>
      <c r="AU291" s="45"/>
    </row>
    <row r="292" spans="1:47" s="36" customFormat="1" ht="12.75" x14ac:dyDescent="0.2">
      <c r="A292" s="5"/>
      <c r="E292" s="5"/>
      <c r="F292" s="132"/>
      <c r="G292" s="132"/>
      <c r="H292" s="9"/>
      <c r="I292" s="9"/>
      <c r="J292" s="9"/>
      <c r="K292" s="9"/>
      <c r="L292" s="44"/>
      <c r="Q292" s="5"/>
      <c r="AB292" s="9"/>
      <c r="AC292" s="9"/>
      <c r="AG292" s="5"/>
      <c r="AR292" s="38"/>
      <c r="AU292" s="45"/>
    </row>
    <row r="293" spans="1:47" s="36" customFormat="1" ht="12.75" x14ac:dyDescent="0.2">
      <c r="A293" s="5"/>
      <c r="E293" s="5"/>
      <c r="F293" s="132"/>
      <c r="G293" s="132"/>
      <c r="H293" s="9"/>
      <c r="I293" s="9"/>
      <c r="J293" s="9"/>
      <c r="K293" s="9"/>
      <c r="L293" s="44"/>
      <c r="Q293" s="5"/>
      <c r="AB293" s="9"/>
      <c r="AC293" s="9"/>
      <c r="AG293" s="5"/>
      <c r="AR293" s="38"/>
      <c r="AU293" s="45"/>
    </row>
    <row r="294" spans="1:47" s="36" customFormat="1" ht="12.75" x14ac:dyDescent="0.2">
      <c r="A294" s="5"/>
      <c r="E294" s="5"/>
      <c r="F294" s="132"/>
      <c r="G294" s="132"/>
      <c r="H294" s="9"/>
      <c r="I294" s="9"/>
      <c r="J294" s="9"/>
      <c r="K294" s="9"/>
      <c r="L294" s="44"/>
      <c r="Q294" s="5"/>
      <c r="AB294" s="9"/>
      <c r="AC294" s="9"/>
      <c r="AG294" s="5"/>
      <c r="AR294" s="38"/>
      <c r="AU294" s="45"/>
    </row>
    <row r="295" spans="1:47" s="36" customFormat="1" ht="12.75" x14ac:dyDescent="0.2">
      <c r="A295" s="5"/>
      <c r="E295" s="5"/>
      <c r="F295" s="132"/>
      <c r="G295" s="132"/>
      <c r="H295" s="9"/>
      <c r="I295" s="9"/>
      <c r="J295" s="9"/>
      <c r="K295" s="9"/>
      <c r="L295" s="44"/>
      <c r="Q295" s="5"/>
      <c r="AB295" s="9"/>
      <c r="AC295" s="9"/>
      <c r="AG295" s="5"/>
      <c r="AR295" s="38"/>
      <c r="AU295" s="45"/>
    </row>
    <row r="296" spans="1:47" s="36" customFormat="1" ht="12.75" x14ac:dyDescent="0.2">
      <c r="A296" s="5"/>
      <c r="E296" s="5"/>
      <c r="F296" s="132"/>
      <c r="G296" s="132"/>
      <c r="H296" s="9"/>
      <c r="I296" s="9"/>
      <c r="J296" s="9"/>
      <c r="K296" s="9"/>
      <c r="L296" s="44"/>
      <c r="Q296" s="5"/>
      <c r="AB296" s="9"/>
      <c r="AC296" s="9"/>
      <c r="AG296" s="5"/>
      <c r="AR296" s="38"/>
      <c r="AU296" s="45"/>
    </row>
    <row r="297" spans="1:47" s="36" customFormat="1" ht="12.75" x14ac:dyDescent="0.2">
      <c r="A297" s="5"/>
      <c r="E297" s="5"/>
      <c r="F297" s="132"/>
      <c r="G297" s="132"/>
      <c r="H297" s="9"/>
      <c r="I297" s="9"/>
      <c r="J297" s="9"/>
      <c r="K297" s="9"/>
      <c r="L297" s="44"/>
      <c r="Q297" s="5"/>
      <c r="AB297" s="9"/>
      <c r="AC297" s="9"/>
      <c r="AG297" s="5"/>
      <c r="AR297" s="38"/>
      <c r="AU297" s="45"/>
    </row>
    <row r="298" spans="1:47" s="36" customFormat="1" ht="12.75" x14ac:dyDescent="0.2">
      <c r="A298" s="5"/>
      <c r="E298" s="5"/>
      <c r="F298" s="132"/>
      <c r="G298" s="132"/>
      <c r="H298" s="9"/>
      <c r="I298" s="9"/>
      <c r="J298" s="9"/>
      <c r="K298" s="9"/>
      <c r="L298" s="44"/>
      <c r="Q298" s="5"/>
      <c r="AB298" s="9"/>
      <c r="AC298" s="9"/>
      <c r="AG298" s="5"/>
      <c r="AR298" s="38"/>
      <c r="AU298" s="45"/>
    </row>
    <row r="299" spans="1:47" s="36" customFormat="1" ht="12.75" x14ac:dyDescent="0.2">
      <c r="A299" s="5"/>
      <c r="E299" s="5"/>
      <c r="F299" s="132"/>
      <c r="G299" s="132"/>
      <c r="H299" s="9"/>
      <c r="I299" s="9"/>
      <c r="J299" s="9"/>
      <c r="K299" s="9"/>
      <c r="L299" s="44"/>
      <c r="Q299" s="5"/>
      <c r="AB299" s="9"/>
      <c r="AC299" s="9"/>
      <c r="AG299" s="5"/>
      <c r="AR299" s="38"/>
      <c r="AU299" s="45"/>
    </row>
    <row r="300" spans="1:47" s="36" customFormat="1" ht="12.75" x14ac:dyDescent="0.2">
      <c r="A300" s="5"/>
      <c r="E300" s="5"/>
      <c r="F300" s="132"/>
      <c r="G300" s="132"/>
      <c r="H300" s="9"/>
      <c r="I300" s="9"/>
      <c r="J300" s="9"/>
      <c r="K300" s="9"/>
      <c r="L300" s="44"/>
      <c r="Q300" s="5"/>
      <c r="AB300" s="9"/>
      <c r="AC300" s="9"/>
      <c r="AG300" s="5"/>
      <c r="AR300" s="38"/>
      <c r="AU300" s="45"/>
    </row>
    <row r="301" spans="1:47" s="36" customFormat="1" ht="12.75" x14ac:dyDescent="0.2">
      <c r="A301" s="5"/>
      <c r="E301" s="5"/>
      <c r="F301" s="132"/>
      <c r="G301" s="132"/>
      <c r="H301" s="9"/>
      <c r="I301" s="9"/>
      <c r="J301" s="9"/>
      <c r="K301" s="9"/>
      <c r="L301" s="44"/>
      <c r="Q301" s="5"/>
      <c r="AB301" s="9"/>
      <c r="AC301" s="9"/>
      <c r="AG301" s="5"/>
      <c r="AR301" s="38"/>
      <c r="AU301" s="45"/>
    </row>
    <row r="302" spans="1:47" s="36" customFormat="1" ht="12.75" x14ac:dyDescent="0.2">
      <c r="A302" s="5"/>
      <c r="E302" s="5"/>
      <c r="F302" s="132"/>
      <c r="G302" s="132"/>
      <c r="H302" s="9"/>
      <c r="I302" s="9"/>
      <c r="J302" s="9"/>
      <c r="K302" s="9"/>
      <c r="L302" s="44"/>
      <c r="Q302" s="5"/>
      <c r="AB302" s="9"/>
      <c r="AC302" s="9"/>
      <c r="AG302" s="5"/>
      <c r="AR302" s="38"/>
      <c r="AU302" s="45"/>
    </row>
    <row r="303" spans="1:47" s="36" customFormat="1" ht="12.75" x14ac:dyDescent="0.2">
      <c r="A303" s="5"/>
      <c r="E303" s="5"/>
      <c r="F303" s="132"/>
      <c r="G303" s="132"/>
      <c r="H303" s="9"/>
      <c r="I303" s="9"/>
      <c r="J303" s="9"/>
      <c r="K303" s="9"/>
      <c r="L303" s="44"/>
      <c r="Q303" s="5"/>
      <c r="AB303" s="9"/>
      <c r="AC303" s="9"/>
      <c r="AG303" s="5"/>
      <c r="AR303" s="38"/>
      <c r="AU303" s="45"/>
    </row>
    <row r="304" spans="1:47" s="36" customFormat="1" ht="12.75" x14ac:dyDescent="0.2">
      <c r="A304" s="5"/>
      <c r="E304" s="5"/>
      <c r="F304" s="132"/>
      <c r="G304" s="132"/>
      <c r="H304" s="9"/>
      <c r="I304" s="9"/>
      <c r="J304" s="9"/>
      <c r="K304" s="9"/>
      <c r="L304" s="44"/>
      <c r="Q304" s="5"/>
      <c r="AB304" s="9"/>
      <c r="AC304" s="9"/>
      <c r="AG304" s="5"/>
      <c r="AR304" s="38"/>
      <c r="AU304" s="45"/>
    </row>
    <row r="305" spans="1:47" s="36" customFormat="1" ht="12.75" x14ac:dyDescent="0.2">
      <c r="A305" s="5"/>
      <c r="E305" s="5"/>
      <c r="F305" s="132"/>
      <c r="G305" s="132"/>
      <c r="H305" s="9"/>
      <c r="I305" s="9"/>
      <c r="J305" s="9"/>
      <c r="K305" s="9"/>
      <c r="L305" s="44"/>
      <c r="Q305" s="5"/>
      <c r="AB305" s="9"/>
      <c r="AC305" s="9"/>
      <c r="AG305" s="5"/>
      <c r="AR305" s="38"/>
      <c r="AU305" s="45"/>
    </row>
    <row r="306" spans="1:47" s="36" customFormat="1" ht="12.75" x14ac:dyDescent="0.2">
      <c r="A306" s="5"/>
      <c r="E306" s="5"/>
      <c r="F306" s="132"/>
      <c r="G306" s="132"/>
      <c r="H306" s="9"/>
      <c r="I306" s="9"/>
      <c r="J306" s="9"/>
      <c r="K306" s="9"/>
      <c r="L306" s="44"/>
      <c r="Q306" s="5"/>
      <c r="AB306" s="9"/>
      <c r="AC306" s="9"/>
      <c r="AG306" s="5"/>
      <c r="AR306" s="38"/>
      <c r="AU306" s="45"/>
    </row>
    <row r="307" spans="1:47" s="36" customFormat="1" ht="12.75" x14ac:dyDescent="0.2">
      <c r="A307" s="5"/>
      <c r="E307" s="5"/>
      <c r="F307" s="132"/>
      <c r="G307" s="132"/>
      <c r="H307" s="9"/>
      <c r="I307" s="9"/>
      <c r="J307" s="9"/>
      <c r="K307" s="9"/>
      <c r="L307" s="44"/>
      <c r="Q307" s="5"/>
      <c r="AB307" s="9"/>
      <c r="AC307" s="9"/>
      <c r="AG307" s="5"/>
      <c r="AR307" s="38"/>
      <c r="AU307" s="45"/>
    </row>
    <row r="308" spans="1:47" s="36" customFormat="1" ht="12.75" x14ac:dyDescent="0.2">
      <c r="A308" s="5"/>
      <c r="E308" s="5"/>
      <c r="F308" s="132"/>
      <c r="G308" s="132"/>
      <c r="H308" s="9"/>
      <c r="I308" s="9"/>
      <c r="J308" s="9"/>
      <c r="K308" s="9"/>
      <c r="L308" s="44"/>
      <c r="Q308" s="5"/>
      <c r="AB308" s="9"/>
      <c r="AC308" s="9"/>
      <c r="AG308" s="5"/>
      <c r="AR308" s="38"/>
      <c r="AU308" s="45"/>
    </row>
    <row r="309" spans="1:47" s="36" customFormat="1" ht="12.75" x14ac:dyDescent="0.2">
      <c r="A309" s="5"/>
      <c r="E309" s="5"/>
      <c r="F309" s="132"/>
      <c r="G309" s="132"/>
      <c r="H309" s="9"/>
      <c r="I309" s="9"/>
      <c r="J309" s="9"/>
      <c r="K309" s="9"/>
      <c r="L309" s="44"/>
      <c r="Q309" s="5"/>
      <c r="AB309" s="9"/>
      <c r="AC309" s="9"/>
      <c r="AG309" s="5"/>
      <c r="AR309" s="38"/>
      <c r="AU309" s="45"/>
    </row>
    <row r="310" spans="1:47" s="36" customFormat="1" ht="12.75" x14ac:dyDescent="0.2">
      <c r="A310" s="5"/>
      <c r="E310" s="5"/>
      <c r="F310" s="132"/>
      <c r="G310" s="132"/>
      <c r="H310" s="9"/>
      <c r="I310" s="9"/>
      <c r="J310" s="9"/>
      <c r="K310" s="9"/>
      <c r="L310" s="44"/>
      <c r="Q310" s="5"/>
      <c r="AB310" s="9"/>
      <c r="AC310" s="9"/>
      <c r="AG310" s="5"/>
      <c r="AR310" s="38"/>
      <c r="AU310" s="45"/>
    </row>
    <row r="311" spans="1:47" s="36" customFormat="1" ht="12.75" x14ac:dyDescent="0.2">
      <c r="A311" s="5"/>
      <c r="E311" s="5"/>
      <c r="F311" s="132"/>
      <c r="G311" s="132"/>
      <c r="H311" s="9"/>
      <c r="I311" s="9"/>
      <c r="J311" s="9"/>
      <c r="K311" s="9"/>
      <c r="L311" s="44"/>
      <c r="Q311" s="5"/>
      <c r="AB311" s="9"/>
      <c r="AC311" s="9"/>
      <c r="AG311" s="5"/>
      <c r="AR311" s="38"/>
      <c r="AU311" s="45"/>
    </row>
    <row r="312" spans="1:47" s="36" customFormat="1" ht="12.75" x14ac:dyDescent="0.2">
      <c r="A312" s="5"/>
      <c r="E312" s="5"/>
      <c r="F312" s="132"/>
      <c r="G312" s="132"/>
      <c r="H312" s="9"/>
      <c r="I312" s="9"/>
      <c r="J312" s="9"/>
      <c r="K312" s="9"/>
      <c r="L312" s="44"/>
      <c r="Q312" s="5"/>
      <c r="AB312" s="9"/>
      <c r="AC312" s="9"/>
      <c r="AG312" s="5"/>
      <c r="AR312" s="38"/>
      <c r="AU312" s="45"/>
    </row>
    <row r="313" spans="1:47" s="36" customFormat="1" ht="12.75" x14ac:dyDescent="0.2">
      <c r="A313" s="5"/>
      <c r="E313" s="5"/>
      <c r="F313" s="132"/>
      <c r="G313" s="132"/>
      <c r="H313" s="9"/>
      <c r="I313" s="9"/>
      <c r="J313" s="9"/>
      <c r="K313" s="9"/>
      <c r="L313" s="44"/>
      <c r="Q313" s="5"/>
      <c r="AB313" s="9"/>
      <c r="AC313" s="9"/>
      <c r="AG313" s="5"/>
      <c r="AR313" s="38"/>
      <c r="AU313" s="45"/>
    </row>
    <row r="314" spans="1:47" s="36" customFormat="1" ht="12.75" x14ac:dyDescent="0.2">
      <c r="A314" s="5"/>
      <c r="E314" s="5"/>
      <c r="F314" s="132"/>
      <c r="G314" s="132"/>
      <c r="H314" s="9"/>
      <c r="I314" s="9"/>
      <c r="J314" s="9"/>
      <c r="K314" s="9"/>
      <c r="L314" s="44"/>
      <c r="Q314" s="5"/>
      <c r="AB314" s="9"/>
      <c r="AC314" s="9"/>
      <c r="AG314" s="5"/>
      <c r="AR314" s="38"/>
      <c r="AU314" s="45"/>
    </row>
    <row r="315" spans="1:47" s="36" customFormat="1" ht="12.75" x14ac:dyDescent="0.2">
      <c r="A315" s="5"/>
      <c r="E315" s="5"/>
      <c r="F315" s="132"/>
      <c r="G315" s="132"/>
      <c r="H315" s="9"/>
      <c r="I315" s="9"/>
      <c r="J315" s="9"/>
      <c r="K315" s="9"/>
      <c r="L315" s="44"/>
      <c r="Q315" s="5"/>
      <c r="AB315" s="9"/>
      <c r="AC315" s="9"/>
      <c r="AG315" s="5"/>
      <c r="AR315" s="38"/>
      <c r="AU315" s="45"/>
    </row>
    <row r="316" spans="1:47" s="36" customFormat="1" ht="12.75" x14ac:dyDescent="0.2">
      <c r="A316" s="5"/>
      <c r="E316" s="5"/>
      <c r="F316" s="132"/>
      <c r="G316" s="132"/>
      <c r="H316" s="9"/>
      <c r="I316" s="9"/>
      <c r="J316" s="9"/>
      <c r="K316" s="9"/>
      <c r="L316" s="44"/>
      <c r="Q316" s="5"/>
      <c r="AB316" s="9"/>
      <c r="AC316" s="9"/>
      <c r="AG316" s="5"/>
      <c r="AR316" s="38"/>
      <c r="AU316" s="45"/>
    </row>
    <row r="317" spans="1:47" s="36" customFormat="1" ht="12.75" x14ac:dyDescent="0.2">
      <c r="A317" s="5"/>
      <c r="E317" s="5"/>
      <c r="F317" s="132"/>
      <c r="G317" s="132"/>
      <c r="H317" s="9"/>
      <c r="I317" s="9"/>
      <c r="J317" s="9"/>
      <c r="K317" s="9"/>
      <c r="L317" s="44"/>
      <c r="Q317" s="5"/>
      <c r="AB317" s="9"/>
      <c r="AC317" s="9"/>
      <c r="AG317" s="5"/>
      <c r="AR317" s="38"/>
      <c r="AU317" s="45"/>
    </row>
    <row r="318" spans="1:47" s="36" customFormat="1" ht="12.75" x14ac:dyDescent="0.2">
      <c r="A318" s="5"/>
      <c r="E318" s="5"/>
      <c r="F318" s="132"/>
      <c r="G318" s="132"/>
      <c r="H318" s="9"/>
      <c r="I318" s="9"/>
      <c r="J318" s="9"/>
      <c r="K318" s="9"/>
      <c r="L318" s="44"/>
      <c r="Q318" s="5"/>
      <c r="AB318" s="9"/>
      <c r="AC318" s="9"/>
      <c r="AG318" s="5"/>
      <c r="AR318" s="38"/>
      <c r="AU318" s="45"/>
    </row>
    <row r="319" spans="1:47" s="36" customFormat="1" ht="12.75" x14ac:dyDescent="0.2">
      <c r="A319" s="5"/>
      <c r="E319" s="5"/>
      <c r="F319" s="132"/>
      <c r="G319" s="132"/>
      <c r="H319" s="9"/>
      <c r="I319" s="9"/>
      <c r="J319" s="9"/>
      <c r="K319" s="9"/>
      <c r="L319" s="44"/>
      <c r="Q319" s="5"/>
      <c r="AB319" s="9"/>
      <c r="AC319" s="9"/>
      <c r="AG319" s="5"/>
      <c r="AR319" s="38"/>
      <c r="AU319" s="45"/>
    </row>
    <row r="320" spans="1:47" s="36" customFormat="1" ht="12.75" x14ac:dyDescent="0.2">
      <c r="A320" s="5"/>
      <c r="E320" s="5"/>
      <c r="F320" s="132"/>
      <c r="G320" s="132"/>
      <c r="H320" s="9"/>
      <c r="I320" s="9"/>
      <c r="J320" s="9"/>
      <c r="K320" s="9"/>
      <c r="L320" s="44"/>
      <c r="Q320" s="5"/>
      <c r="AB320" s="9"/>
      <c r="AC320" s="9"/>
      <c r="AG320" s="5"/>
      <c r="AR320" s="38"/>
      <c r="AU320" s="45"/>
    </row>
    <row r="321" spans="1:47" s="36" customFormat="1" ht="12.75" x14ac:dyDescent="0.2">
      <c r="A321" s="5"/>
      <c r="E321" s="5"/>
      <c r="F321" s="132"/>
      <c r="G321" s="132"/>
      <c r="H321" s="9"/>
      <c r="I321" s="9"/>
      <c r="J321" s="9"/>
      <c r="K321" s="9"/>
      <c r="L321" s="44"/>
      <c r="Q321" s="5"/>
      <c r="AB321" s="9"/>
      <c r="AC321" s="9"/>
      <c r="AG321" s="5"/>
      <c r="AR321" s="38"/>
      <c r="AU321" s="45"/>
    </row>
    <row r="322" spans="1:47" s="36" customFormat="1" ht="12.75" x14ac:dyDescent="0.2">
      <c r="A322" s="5"/>
      <c r="E322" s="5"/>
      <c r="F322" s="132"/>
      <c r="G322" s="132"/>
      <c r="H322" s="9"/>
      <c r="I322" s="9"/>
      <c r="J322" s="9"/>
      <c r="K322" s="9"/>
      <c r="L322" s="44"/>
      <c r="Q322" s="5"/>
      <c r="AB322" s="9"/>
      <c r="AC322" s="9"/>
      <c r="AG322" s="5"/>
      <c r="AR322" s="38"/>
      <c r="AU322" s="45"/>
    </row>
    <row r="323" spans="1:47" s="36" customFormat="1" ht="12.75" x14ac:dyDescent="0.2">
      <c r="A323" s="5"/>
      <c r="E323" s="5"/>
      <c r="F323" s="132"/>
      <c r="G323" s="132"/>
      <c r="H323" s="9"/>
      <c r="I323" s="9"/>
      <c r="J323" s="9"/>
      <c r="K323" s="9"/>
      <c r="L323" s="44"/>
      <c r="Q323" s="5"/>
      <c r="AB323" s="9"/>
      <c r="AC323" s="9"/>
      <c r="AG323" s="5"/>
      <c r="AR323" s="38"/>
      <c r="AU323" s="45"/>
    </row>
    <row r="324" spans="1:47" s="36" customFormat="1" ht="12.75" x14ac:dyDescent="0.2">
      <c r="A324" s="5"/>
      <c r="E324" s="5"/>
      <c r="F324" s="132"/>
      <c r="G324" s="132"/>
      <c r="H324" s="9"/>
      <c r="I324" s="9"/>
      <c r="J324" s="9"/>
      <c r="K324" s="9"/>
      <c r="L324" s="44"/>
      <c r="Q324" s="5"/>
      <c r="AB324" s="9"/>
      <c r="AC324" s="9"/>
      <c r="AG324" s="5"/>
      <c r="AR324" s="38"/>
      <c r="AU324" s="45"/>
    </row>
    <row r="325" spans="1:47" s="36" customFormat="1" ht="12.75" x14ac:dyDescent="0.2">
      <c r="A325" s="5"/>
      <c r="E325" s="5"/>
      <c r="F325" s="132"/>
      <c r="G325" s="132"/>
      <c r="H325" s="9"/>
      <c r="I325" s="9"/>
      <c r="J325" s="9"/>
      <c r="K325" s="9"/>
      <c r="L325" s="44"/>
      <c r="Q325" s="5"/>
      <c r="AB325" s="9"/>
      <c r="AC325" s="9"/>
      <c r="AG325" s="5"/>
      <c r="AR325" s="38"/>
      <c r="AU325" s="45"/>
    </row>
    <row r="326" spans="1:47" s="36" customFormat="1" ht="12.75" x14ac:dyDescent="0.2">
      <c r="A326" s="5"/>
      <c r="E326" s="5"/>
      <c r="F326" s="132"/>
      <c r="G326" s="132"/>
      <c r="H326" s="9"/>
      <c r="I326" s="9"/>
      <c r="J326" s="9"/>
      <c r="K326" s="9"/>
      <c r="L326" s="44"/>
      <c r="Q326" s="5"/>
      <c r="AB326" s="9"/>
      <c r="AC326" s="9"/>
      <c r="AG326" s="5"/>
      <c r="AR326" s="38"/>
      <c r="AU326" s="45"/>
    </row>
    <row r="327" spans="1:47" s="36" customFormat="1" ht="12.75" x14ac:dyDescent="0.2">
      <c r="A327" s="5"/>
      <c r="E327" s="5"/>
      <c r="F327" s="132"/>
      <c r="G327" s="132"/>
      <c r="H327" s="9"/>
      <c r="I327" s="9"/>
      <c r="J327" s="9"/>
      <c r="K327" s="9"/>
      <c r="L327" s="44"/>
      <c r="Q327" s="5"/>
      <c r="AB327" s="9"/>
      <c r="AC327" s="9"/>
      <c r="AG327" s="5"/>
      <c r="AR327" s="38"/>
      <c r="AU327" s="45"/>
    </row>
    <row r="328" spans="1:47" s="36" customFormat="1" ht="12.75" x14ac:dyDescent="0.2">
      <c r="A328" s="5"/>
      <c r="E328" s="5"/>
      <c r="F328" s="132"/>
      <c r="G328" s="132"/>
      <c r="H328" s="9"/>
      <c r="I328" s="9"/>
      <c r="J328" s="9"/>
      <c r="K328" s="9"/>
      <c r="L328" s="44"/>
      <c r="Q328" s="5"/>
      <c r="AB328" s="9"/>
      <c r="AC328" s="9"/>
      <c r="AG328" s="5"/>
      <c r="AR328" s="38"/>
      <c r="AU328" s="45"/>
    </row>
    <row r="329" spans="1:47" s="36" customFormat="1" ht="12.75" x14ac:dyDescent="0.2">
      <c r="A329" s="5"/>
      <c r="E329" s="5"/>
      <c r="F329" s="132"/>
      <c r="G329" s="132"/>
      <c r="H329" s="9"/>
      <c r="I329" s="9"/>
      <c r="J329" s="9"/>
      <c r="K329" s="9"/>
      <c r="L329" s="44"/>
      <c r="Q329" s="5"/>
      <c r="AB329" s="9"/>
      <c r="AC329" s="9"/>
      <c r="AG329" s="5"/>
      <c r="AR329" s="38"/>
      <c r="AU329" s="45"/>
    </row>
    <row r="330" spans="1:47" s="36" customFormat="1" ht="12.75" x14ac:dyDescent="0.2">
      <c r="A330" s="5"/>
      <c r="E330" s="5"/>
      <c r="F330" s="132"/>
      <c r="G330" s="132"/>
      <c r="H330" s="9"/>
      <c r="I330" s="9"/>
      <c r="J330" s="9"/>
      <c r="K330" s="9"/>
      <c r="L330" s="44"/>
      <c r="Q330" s="5"/>
      <c r="AB330" s="9"/>
      <c r="AC330" s="9"/>
      <c r="AG330" s="5"/>
      <c r="AR330" s="38"/>
      <c r="AU330" s="45"/>
    </row>
    <row r="331" spans="1:47" s="36" customFormat="1" ht="12.75" x14ac:dyDescent="0.2">
      <c r="A331" s="5"/>
      <c r="E331" s="5"/>
      <c r="F331" s="132"/>
      <c r="G331" s="132"/>
      <c r="H331" s="9"/>
      <c r="I331" s="9"/>
      <c r="J331" s="9"/>
      <c r="K331" s="9"/>
      <c r="L331" s="44"/>
      <c r="Q331" s="5"/>
      <c r="AB331" s="9"/>
      <c r="AC331" s="9"/>
      <c r="AG331" s="5"/>
      <c r="AR331" s="38"/>
      <c r="AU331" s="45"/>
    </row>
    <row r="332" spans="1:47" s="36" customFormat="1" ht="12.75" x14ac:dyDescent="0.2">
      <c r="A332" s="5"/>
      <c r="E332" s="5"/>
      <c r="F332" s="132"/>
      <c r="G332" s="132"/>
      <c r="H332" s="9"/>
      <c r="I332" s="9"/>
      <c r="J332" s="9"/>
      <c r="K332" s="9"/>
      <c r="L332" s="44"/>
      <c r="Q332" s="5"/>
      <c r="AB332" s="9"/>
      <c r="AC332" s="9"/>
      <c r="AG332" s="5"/>
      <c r="AR332" s="38"/>
      <c r="AU332" s="45"/>
    </row>
    <row r="333" spans="1:47" s="36" customFormat="1" ht="12.75" x14ac:dyDescent="0.2">
      <c r="A333" s="5"/>
      <c r="E333" s="5"/>
      <c r="F333" s="132"/>
      <c r="G333" s="132"/>
      <c r="H333" s="9"/>
      <c r="I333" s="9"/>
      <c r="J333" s="9"/>
      <c r="K333" s="9"/>
      <c r="L333" s="44"/>
      <c r="Q333" s="5"/>
      <c r="AB333" s="9"/>
      <c r="AC333" s="9"/>
      <c r="AG333" s="5"/>
      <c r="AR333" s="38"/>
      <c r="AU333" s="45"/>
    </row>
    <row r="334" spans="1:47" s="36" customFormat="1" ht="12.75" x14ac:dyDescent="0.2">
      <c r="A334" s="5"/>
      <c r="E334" s="5"/>
      <c r="F334" s="132"/>
      <c r="G334" s="132"/>
      <c r="H334" s="9"/>
      <c r="I334" s="9"/>
      <c r="J334" s="9"/>
      <c r="K334" s="9"/>
      <c r="L334" s="44"/>
      <c r="Q334" s="5"/>
      <c r="AB334" s="9"/>
      <c r="AC334" s="9"/>
      <c r="AG334" s="5"/>
      <c r="AR334" s="38"/>
      <c r="AU334" s="45"/>
    </row>
    <row r="335" spans="1:47" s="36" customFormat="1" ht="12.75" x14ac:dyDescent="0.2">
      <c r="A335" s="5"/>
      <c r="E335" s="5"/>
      <c r="F335" s="132"/>
      <c r="G335" s="132"/>
      <c r="H335" s="9"/>
      <c r="I335" s="9"/>
      <c r="J335" s="9"/>
      <c r="K335" s="9"/>
      <c r="L335" s="44"/>
      <c r="Q335" s="5"/>
      <c r="AB335" s="9"/>
      <c r="AC335" s="9"/>
      <c r="AG335" s="5"/>
      <c r="AR335" s="38"/>
      <c r="AU335" s="45"/>
    </row>
    <row r="336" spans="1:47" s="36" customFormat="1" ht="12.75" x14ac:dyDescent="0.2">
      <c r="A336" s="5"/>
      <c r="E336" s="5"/>
      <c r="F336" s="132"/>
      <c r="G336" s="132"/>
      <c r="H336" s="9"/>
      <c r="I336" s="9"/>
      <c r="J336" s="9"/>
      <c r="K336" s="9"/>
      <c r="L336" s="44"/>
      <c r="Q336" s="5"/>
      <c r="AB336" s="9"/>
      <c r="AC336" s="9"/>
      <c r="AG336" s="5"/>
      <c r="AR336" s="38"/>
      <c r="AU336" s="45"/>
    </row>
    <row r="337" spans="1:47" s="36" customFormat="1" ht="12.75" x14ac:dyDescent="0.2">
      <c r="A337" s="5"/>
      <c r="E337" s="5"/>
      <c r="F337" s="132"/>
      <c r="G337" s="132"/>
      <c r="H337" s="9"/>
      <c r="I337" s="9"/>
      <c r="J337" s="9"/>
      <c r="K337" s="9"/>
      <c r="L337" s="44"/>
      <c r="Q337" s="5"/>
      <c r="AB337" s="9"/>
      <c r="AC337" s="9"/>
      <c r="AG337" s="5"/>
      <c r="AR337" s="38"/>
      <c r="AU337" s="45"/>
    </row>
    <row r="338" spans="1:47" s="36" customFormat="1" ht="12.75" x14ac:dyDescent="0.2">
      <c r="A338" s="5"/>
      <c r="E338" s="5"/>
      <c r="F338" s="132"/>
      <c r="G338" s="132"/>
      <c r="H338" s="9"/>
      <c r="I338" s="9"/>
      <c r="J338" s="9"/>
      <c r="K338" s="9"/>
      <c r="L338" s="44"/>
      <c r="Q338" s="5"/>
      <c r="AB338" s="9"/>
      <c r="AC338" s="9"/>
      <c r="AG338" s="5"/>
      <c r="AR338" s="38"/>
      <c r="AU338" s="45"/>
    </row>
    <row r="339" spans="1:47" s="36" customFormat="1" ht="12.75" x14ac:dyDescent="0.2">
      <c r="A339" s="5"/>
      <c r="E339" s="5"/>
      <c r="F339" s="132"/>
      <c r="G339" s="132"/>
      <c r="H339" s="9"/>
      <c r="I339" s="9"/>
      <c r="J339" s="9"/>
      <c r="K339" s="9"/>
      <c r="L339" s="44"/>
      <c r="Q339" s="5"/>
      <c r="AB339" s="9"/>
      <c r="AC339" s="9"/>
      <c r="AG339" s="5"/>
      <c r="AR339" s="38"/>
      <c r="AU339" s="45"/>
    </row>
    <row r="340" spans="1:47" s="36" customFormat="1" ht="12.75" x14ac:dyDescent="0.2">
      <c r="A340" s="5"/>
      <c r="E340" s="5"/>
      <c r="F340" s="132"/>
      <c r="G340" s="132"/>
      <c r="H340" s="9"/>
      <c r="I340" s="9"/>
      <c r="J340" s="9"/>
      <c r="K340" s="9"/>
      <c r="L340" s="44"/>
      <c r="Q340" s="5"/>
      <c r="AB340" s="9"/>
      <c r="AC340" s="9"/>
      <c r="AG340" s="5"/>
      <c r="AR340" s="38"/>
      <c r="AU340" s="45"/>
    </row>
    <row r="341" spans="1:47" s="36" customFormat="1" ht="12.75" x14ac:dyDescent="0.2">
      <c r="A341" s="5"/>
      <c r="E341" s="5"/>
      <c r="F341" s="132"/>
      <c r="G341" s="132"/>
      <c r="H341" s="9"/>
      <c r="I341" s="9"/>
      <c r="J341" s="9"/>
      <c r="K341" s="9"/>
      <c r="L341" s="44"/>
      <c r="Q341" s="5"/>
      <c r="AB341" s="9"/>
      <c r="AC341" s="9"/>
      <c r="AG341" s="5"/>
      <c r="AR341" s="38"/>
      <c r="AU341" s="45"/>
    </row>
    <row r="342" spans="1:47" s="36" customFormat="1" ht="12.75" x14ac:dyDescent="0.2">
      <c r="A342" s="5"/>
      <c r="E342" s="5"/>
      <c r="F342" s="132"/>
      <c r="G342" s="132"/>
      <c r="H342" s="9"/>
      <c r="I342" s="9"/>
      <c r="J342" s="9"/>
      <c r="K342" s="9"/>
      <c r="L342" s="44"/>
      <c r="Q342" s="5"/>
      <c r="AB342" s="9"/>
      <c r="AC342" s="9"/>
      <c r="AG342" s="5"/>
      <c r="AR342" s="38"/>
      <c r="AU342" s="45"/>
    </row>
    <row r="343" spans="1:47" s="36" customFormat="1" ht="12.75" x14ac:dyDescent="0.2">
      <c r="A343" s="5"/>
      <c r="E343" s="5"/>
      <c r="F343" s="132"/>
      <c r="G343" s="132"/>
      <c r="H343" s="9"/>
      <c r="I343" s="9"/>
      <c r="J343" s="9"/>
      <c r="K343" s="9"/>
      <c r="L343" s="44"/>
      <c r="Q343" s="5"/>
      <c r="AB343" s="9"/>
      <c r="AC343" s="9"/>
      <c r="AG343" s="5"/>
      <c r="AR343" s="38"/>
      <c r="AU343" s="45"/>
    </row>
    <row r="344" spans="1:47" s="36" customFormat="1" ht="12.75" x14ac:dyDescent="0.2">
      <c r="A344" s="5"/>
      <c r="E344" s="5"/>
      <c r="F344" s="132"/>
      <c r="G344" s="132"/>
      <c r="H344" s="9"/>
      <c r="I344" s="9"/>
      <c r="J344" s="9"/>
      <c r="K344" s="9"/>
      <c r="L344" s="44"/>
      <c r="Q344" s="5"/>
      <c r="AB344" s="9"/>
      <c r="AC344" s="9"/>
      <c r="AG344" s="5"/>
      <c r="AR344" s="38"/>
      <c r="AU344" s="45"/>
    </row>
    <row r="345" spans="1:47" s="36" customFormat="1" ht="12.75" x14ac:dyDescent="0.2">
      <c r="A345" s="5"/>
      <c r="E345" s="5"/>
      <c r="F345" s="132"/>
      <c r="G345" s="132"/>
      <c r="H345" s="9"/>
      <c r="I345" s="9"/>
      <c r="J345" s="9"/>
      <c r="K345" s="9"/>
      <c r="L345" s="44"/>
      <c r="Q345" s="5"/>
      <c r="AB345" s="9"/>
      <c r="AC345" s="9"/>
      <c r="AG345" s="5"/>
      <c r="AR345" s="38"/>
      <c r="AU345" s="45"/>
    </row>
    <row r="346" spans="1:47" s="36" customFormat="1" ht="12.75" x14ac:dyDescent="0.2">
      <c r="A346" s="5"/>
      <c r="E346" s="5"/>
      <c r="F346" s="132"/>
      <c r="G346" s="132"/>
      <c r="H346" s="9"/>
      <c r="I346" s="9"/>
      <c r="J346" s="9"/>
      <c r="K346" s="9"/>
      <c r="L346" s="44"/>
      <c r="Q346" s="5"/>
      <c r="AB346" s="9"/>
      <c r="AC346" s="9"/>
      <c r="AG346" s="5"/>
      <c r="AR346" s="38"/>
      <c r="AU346" s="45"/>
    </row>
    <row r="347" spans="1:47" s="36" customFormat="1" ht="12.75" x14ac:dyDescent="0.2">
      <c r="A347" s="5"/>
      <c r="E347" s="5"/>
      <c r="F347" s="132"/>
      <c r="G347" s="132"/>
      <c r="H347" s="9"/>
      <c r="I347" s="9"/>
      <c r="J347" s="9"/>
      <c r="K347" s="9"/>
      <c r="L347" s="44"/>
      <c r="Q347" s="5"/>
      <c r="AB347" s="9"/>
      <c r="AC347" s="9"/>
      <c r="AG347" s="5"/>
      <c r="AR347" s="38"/>
      <c r="AU347" s="45"/>
    </row>
    <row r="348" spans="1:47" s="36" customFormat="1" ht="12.75" x14ac:dyDescent="0.2">
      <c r="A348" s="5"/>
      <c r="E348" s="5"/>
      <c r="F348" s="132"/>
      <c r="G348" s="132"/>
      <c r="H348" s="9"/>
      <c r="I348" s="9"/>
      <c r="J348" s="9"/>
      <c r="K348" s="9"/>
      <c r="L348" s="44"/>
      <c r="Q348" s="5"/>
      <c r="AB348" s="9"/>
      <c r="AC348" s="9"/>
      <c r="AG348" s="5"/>
      <c r="AR348" s="38"/>
      <c r="AU348" s="45"/>
    </row>
    <row r="349" spans="1:47" s="36" customFormat="1" ht="12.75" x14ac:dyDescent="0.2">
      <c r="A349" s="5"/>
      <c r="E349" s="5"/>
      <c r="F349" s="132"/>
      <c r="G349" s="132"/>
      <c r="H349" s="9"/>
      <c r="I349" s="9"/>
      <c r="J349" s="9"/>
      <c r="K349" s="9"/>
      <c r="L349" s="44"/>
      <c r="Q349" s="5"/>
      <c r="AB349" s="9"/>
      <c r="AC349" s="9"/>
      <c r="AG349" s="5"/>
      <c r="AR349" s="38"/>
      <c r="AU349" s="45"/>
    </row>
    <row r="350" spans="1:47" s="36" customFormat="1" ht="12.75" x14ac:dyDescent="0.2">
      <c r="A350" s="5"/>
      <c r="E350" s="5"/>
      <c r="F350" s="132"/>
      <c r="G350" s="132"/>
      <c r="H350" s="9"/>
      <c r="I350" s="9"/>
      <c r="J350" s="9"/>
      <c r="K350" s="9"/>
      <c r="L350" s="44"/>
      <c r="Q350" s="5"/>
      <c r="AB350" s="9"/>
      <c r="AC350" s="9"/>
      <c r="AG350" s="5"/>
      <c r="AR350" s="38"/>
      <c r="AU350" s="45"/>
    </row>
    <row r="351" spans="1:47" s="36" customFormat="1" ht="12.75" x14ac:dyDescent="0.2">
      <c r="A351" s="5"/>
      <c r="E351" s="5"/>
      <c r="F351" s="132"/>
      <c r="G351" s="132"/>
      <c r="H351" s="9"/>
      <c r="I351" s="9"/>
      <c r="J351" s="9"/>
      <c r="K351" s="9"/>
      <c r="L351" s="44"/>
      <c r="Q351" s="5"/>
      <c r="AB351" s="9"/>
      <c r="AC351" s="9"/>
      <c r="AG351" s="5"/>
      <c r="AR351" s="38"/>
      <c r="AU351" s="45"/>
    </row>
    <row r="352" spans="1:47" s="36" customFormat="1" ht="12.75" x14ac:dyDescent="0.2">
      <c r="A352" s="5"/>
      <c r="E352" s="5"/>
      <c r="F352" s="132"/>
      <c r="G352" s="132"/>
      <c r="H352" s="9"/>
      <c r="I352" s="9"/>
      <c r="J352" s="9"/>
      <c r="K352" s="9"/>
      <c r="L352" s="44"/>
      <c r="Q352" s="5"/>
      <c r="AB352" s="9"/>
      <c r="AC352" s="9"/>
      <c r="AG352" s="5"/>
      <c r="AR352" s="38"/>
      <c r="AU352" s="45"/>
    </row>
    <row r="353" spans="1:47" s="36" customFormat="1" ht="12.75" x14ac:dyDescent="0.2">
      <c r="A353" s="5"/>
      <c r="E353" s="5"/>
      <c r="F353" s="132"/>
      <c r="G353" s="132"/>
      <c r="H353" s="9"/>
      <c r="I353" s="9"/>
      <c r="J353" s="9"/>
      <c r="K353" s="9"/>
      <c r="L353" s="44"/>
      <c r="Q353" s="5"/>
      <c r="AB353" s="9"/>
      <c r="AC353" s="9"/>
      <c r="AG353" s="5"/>
      <c r="AR353" s="38"/>
      <c r="AU353" s="45"/>
    </row>
    <row r="354" spans="1:47" s="36" customFormat="1" ht="12.75" x14ac:dyDescent="0.2">
      <c r="A354" s="5"/>
      <c r="E354" s="5"/>
      <c r="F354" s="132"/>
      <c r="G354" s="132"/>
      <c r="H354" s="9"/>
      <c r="I354" s="9"/>
      <c r="J354" s="9"/>
      <c r="K354" s="9"/>
      <c r="L354" s="44"/>
      <c r="Q354" s="5"/>
      <c r="AB354" s="9"/>
      <c r="AC354" s="9"/>
      <c r="AG354" s="5"/>
      <c r="AR354" s="38"/>
      <c r="AU354" s="45"/>
    </row>
    <row r="355" spans="1:47" s="36" customFormat="1" ht="12.75" x14ac:dyDescent="0.2">
      <c r="A355" s="5"/>
      <c r="E355" s="5"/>
      <c r="F355" s="132"/>
      <c r="G355" s="132"/>
      <c r="H355" s="9"/>
      <c r="I355" s="9"/>
      <c r="J355" s="9"/>
      <c r="K355" s="9"/>
      <c r="L355" s="44"/>
      <c r="Q355" s="5"/>
      <c r="AB355" s="9"/>
      <c r="AC355" s="9"/>
      <c r="AG355" s="5"/>
      <c r="AR355" s="38"/>
      <c r="AU355" s="45"/>
    </row>
    <row r="356" spans="1:47" s="36" customFormat="1" ht="12.75" x14ac:dyDescent="0.2">
      <c r="A356" s="5"/>
      <c r="E356" s="5"/>
      <c r="F356" s="132"/>
      <c r="G356" s="132"/>
      <c r="H356" s="9"/>
      <c r="I356" s="9"/>
      <c r="J356" s="9"/>
      <c r="K356" s="9"/>
      <c r="L356" s="44"/>
      <c r="Q356" s="5"/>
      <c r="AB356" s="9"/>
      <c r="AC356" s="9"/>
      <c r="AG356" s="5"/>
      <c r="AR356" s="38"/>
      <c r="AU356" s="45"/>
    </row>
    <row r="357" spans="1:47" s="36" customFormat="1" ht="12.75" x14ac:dyDescent="0.2">
      <c r="A357" s="5"/>
      <c r="E357" s="5"/>
      <c r="F357" s="132"/>
      <c r="G357" s="132"/>
      <c r="H357" s="9"/>
      <c r="I357" s="9"/>
      <c r="J357" s="9"/>
      <c r="K357" s="9"/>
      <c r="L357" s="44"/>
      <c r="Q357" s="5"/>
      <c r="AB357" s="9"/>
      <c r="AC357" s="9"/>
      <c r="AG357" s="5"/>
      <c r="AR357" s="38"/>
      <c r="AU357" s="45"/>
    </row>
    <row r="358" spans="1:47" s="36" customFormat="1" ht="12.75" x14ac:dyDescent="0.2">
      <c r="A358" s="5"/>
      <c r="E358" s="5"/>
      <c r="F358" s="132"/>
      <c r="G358" s="132"/>
      <c r="H358" s="9"/>
      <c r="I358" s="9"/>
      <c r="J358" s="9"/>
      <c r="K358" s="9"/>
      <c r="L358" s="44"/>
      <c r="Q358" s="5"/>
      <c r="AB358" s="9"/>
      <c r="AC358" s="9"/>
      <c r="AG358" s="5"/>
      <c r="AR358" s="38"/>
      <c r="AU358" s="45"/>
    </row>
    <row r="359" spans="1:47" s="36" customFormat="1" ht="12.75" x14ac:dyDescent="0.2">
      <c r="A359" s="5"/>
      <c r="E359" s="5"/>
      <c r="F359" s="132"/>
      <c r="G359" s="132"/>
      <c r="H359" s="9"/>
      <c r="I359" s="9"/>
      <c r="J359" s="9"/>
      <c r="K359" s="9"/>
      <c r="L359" s="44"/>
      <c r="Q359" s="5"/>
      <c r="AB359" s="9"/>
      <c r="AC359" s="9"/>
      <c r="AG359" s="5"/>
      <c r="AR359" s="38"/>
      <c r="AU359" s="45"/>
    </row>
  </sheetData>
  <sheetProtection formatCells="0" formatColumns="0" formatRows="0" sort="0" autoFilter="0" pivotTables="0"/>
  <mergeCells count="2">
    <mergeCell ref="A1:B1"/>
    <mergeCell ref="A2:H2"/>
  </mergeCells>
  <phoneticPr fontId="38" type="noConversion"/>
  <conditionalFormatting sqref="B60">
    <cfRule type="duplicateValues" dxfId="2" priority="18"/>
  </conditionalFormatting>
  <conditionalFormatting sqref="AN6">
    <cfRule type="iconSet" priority="10">
      <iconSet>
        <cfvo type="percent" val="0"/>
        <cfvo type="percent" val="33"/>
        <cfvo type="percent" val="67"/>
      </iconSet>
    </cfRule>
  </conditionalFormatting>
  <conditionalFormatting sqref="B56">
    <cfRule type="duplicateValues" dxfId="1" priority="1582"/>
  </conditionalFormatting>
  <conditionalFormatting sqref="AO21:AP21 AO35:AP35 AO34 AO56:AP57 AO5:AO20 AO33:AP33 AO31:AO32 AO37:AP41 AO36 AO51:AP52 AO44:AO50 AO30:AP30 AO22:AO29 AO43:AP43 AO42 AO53:AO55 AO58:AO68">
    <cfRule type="iconSet" priority="1644">
      <iconSet showValue="0">
        <cfvo type="percent" val="0"/>
        <cfvo type="num" val="-0.1"/>
        <cfvo type="num" val="0"/>
      </iconSet>
    </cfRule>
  </conditionalFormatting>
  <conditionalFormatting sqref="AM5:AM115">
    <cfRule type="iconSet" priority="1696">
      <iconSet>
        <cfvo type="percent" val="0"/>
        <cfvo type="percent" val="33"/>
        <cfvo type="percent" val="67"/>
      </iconSet>
    </cfRule>
  </conditionalFormatting>
  <conditionalFormatting sqref="A5:A115">
    <cfRule type="duplicateValues" dxfId="0" priority="1698"/>
  </conditionalFormatting>
  <conditionalFormatting sqref="AO84">
    <cfRule type="iconSet" priority="1">
      <iconSet showValue="0">
        <cfvo type="percent" val="0"/>
        <cfvo type="num" val="-0.1"/>
        <cfvo type="num" val="0"/>
      </iconSet>
    </cfRule>
  </conditionalFormatting>
  <dataValidations count="3">
    <dataValidation type="list" allowBlank="1" showInputMessage="1" showErrorMessage="1" sqref="E5 E15:E17 E34 E48:E49 E73 E55 E59 E61 E29 E22:E23 E85:E115">
      <formula1>"Proyecto, Heredado"</formula1>
    </dataValidation>
    <dataValidation allowBlank="1" showInputMessage="1" showErrorMessage="1" sqref="AS76:AS77 AS74 AS18:AS21 AS24:AS28 AS30:AS33 AG14:AG31 AS35:AS47 AS51:AS54 AS56:AS58 AS60 AS62:AS69 AG5:AG12 AS6:AS14 AS84 H5:H115"/>
    <dataValidation type="list" allowBlank="1" showInputMessage="1" showErrorMessage="1" sqref="E74 E18:E21 E24:E33 E35:E47 E50:E54 E56:E58 E60 E62:E72 E6:E14">
      <formula1>"Proyecto, Proyecto-Hijo"</formula1>
    </dataValidation>
  </dataValidations>
  <pageMargins left="0.7" right="0.7" top="0.75" bottom="0.75" header="0.3" footer="0.3"/>
  <pageSetup paperSize="9" orientation="portrait" r:id="rId1"/>
  <ignoredErrors>
    <ignoredError sqref="AV15:AV16 AV30 AV17:AV18 AV23 AV51:AV52 AV19:AV22 AV24:AV25 AV26:AV28 AV31:AV35 AV36:AV41 AV42 AV43:AV44 AV45 AV46:AV47 AV48 AV49 AV53:AV54 AV55 AV56:AV57 AV58:AV59 AV60:AV61" calculatedColumn="1"/>
  </ignoredErrors>
  <legacyDrawing r:id="rId2"/>
  <tableParts count="1">
    <tablePart r:id="rId3"/>
  </tableParts>
  <extLst>
    <ext xmlns:x14="http://schemas.microsoft.com/office/spreadsheetml/2009/9/main" uri="{CCE6A557-97BC-4b89-ADB6-D9C93CAAB3DF}">
      <x14:dataValidations xmlns:xm="http://schemas.microsoft.com/office/excel/2006/main" count="8">
        <x14:dataValidation type="list" allowBlank="1" showInputMessage="1" showErrorMessage="1">
          <x14:formula1>
            <xm:f>'C:\Users\lsanchezr\Downloads\[Portafolio_Demanda_TI_DE12.02.2025.xlsm]Definiciones'!#REF!</xm:f>
          </x14:formula1>
          <xm:sqref>AF17 AB17:AB18 AB75</xm:sqref>
        </x14:dataValidation>
        <x14:dataValidation type="list" allowBlank="1" showInputMessage="1" showErrorMessage="1">
          <x14:formula1>
            <xm:f>#REF!</xm:f>
          </x14:formula1>
          <xm:sqref>P5:P79 P84</xm:sqref>
        </x14:dataValidation>
        <x14:dataValidation type="list" allowBlank="1" showInputMessage="1" showErrorMessage="1">
          <x14:formula1>
            <xm:f>#REF!</xm:f>
          </x14:formula1>
          <xm:sqref>P80 O5:O80 O81:P83 O84</xm:sqref>
        </x14:dataValidation>
        <x14:dataValidation type="list" allowBlank="1" showInputMessage="1" showErrorMessage="1">
          <x14:formula1>
            <xm:f>#REF!</xm:f>
          </x14:formula1>
          <xm:sqref>N5:N115 O85:P115</xm:sqref>
        </x14:dataValidation>
        <x14:dataValidation type="list" allowBlank="1" showInputMessage="1" showErrorMessage="1">
          <x14:formula1>
            <xm:f>#REF!</xm:f>
          </x14:formula1>
          <xm:sqref>Q5:Q115</xm:sqref>
        </x14:dataValidation>
        <x14:dataValidation type="list" allowBlank="1" showInputMessage="1" showErrorMessage="1">
          <x14:formula1>
            <xm:f>#REF!</xm:f>
          </x14:formula1>
          <xm:sqref>R5:R115 S85:T115</xm:sqref>
        </x14:dataValidation>
        <x14:dataValidation type="list" allowBlank="1" showInputMessage="1" showErrorMessage="1">
          <x14:formula1>
            <xm:f>#REF!</xm:f>
          </x14:formula1>
          <xm:sqref>AA5:AA115</xm:sqref>
        </x14:dataValidation>
        <x14:dataValidation type="list" allowBlank="1" showInputMessage="1" showErrorMessage="1">
          <x14:formula1>
            <xm:f>#REF!</xm:f>
          </x14:formula1>
          <xm:sqref>Z5:Z84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2:BO40"/>
  <sheetViews>
    <sheetView view="pageBreakPreview" zoomScale="70" zoomScaleNormal="70" zoomScaleSheetLayoutView="70" workbookViewId="0">
      <pane xSplit="4" ySplit="3" topLeftCell="E4" activePane="bottomRight" state="frozen"/>
      <selection pane="topRight"/>
      <selection pane="bottomLeft"/>
      <selection pane="bottomRight" activeCell="BP6" sqref="BP6"/>
    </sheetView>
  </sheetViews>
  <sheetFormatPr baseColWidth="10" defaultColWidth="9.140625" defaultRowHeight="12.75" x14ac:dyDescent="0.2"/>
  <cols>
    <col min="1" max="1" width="3.28515625" style="8" customWidth="1"/>
    <col min="2" max="2" width="7.5703125" style="8" customWidth="1"/>
    <col min="3" max="3" width="29" style="5" customWidth="1"/>
    <col min="4" max="4" width="38.42578125" style="5" customWidth="1"/>
    <col min="5" max="5" width="38" style="46" customWidth="1"/>
    <col min="6" max="6" width="14.42578125" style="11" bestFit="1" customWidth="1"/>
    <col min="7" max="7" width="13.140625" style="8" bestFit="1" customWidth="1"/>
    <col min="8" max="8" width="13.42578125" style="8" bestFit="1" customWidth="1"/>
    <col min="9" max="9" width="18.5703125" style="11" customWidth="1"/>
    <col min="10" max="10" width="14.42578125" style="8" customWidth="1"/>
    <col min="11" max="11" width="18.42578125" style="47" customWidth="1"/>
    <col min="12" max="12" width="15.5703125" style="8" customWidth="1"/>
    <col min="13" max="13" width="11.28515625" style="8" customWidth="1"/>
    <col min="14" max="58" width="9.140625" style="8" customWidth="1"/>
    <col min="59" max="59" width="8.42578125" style="8" bestFit="1" customWidth="1"/>
    <col min="60" max="60" width="7.28515625" style="8" bestFit="1" customWidth="1"/>
    <col min="61" max="61" width="8.42578125" style="8" bestFit="1" customWidth="1"/>
    <col min="62" max="62" width="7.28515625" style="8" bestFit="1" customWidth="1"/>
    <col min="63" max="66" width="7.28515625" style="8" customWidth="1"/>
    <col min="67" max="67" width="51.28515625" style="10" customWidth="1"/>
    <col min="68" max="16384" width="9.140625" style="8"/>
  </cols>
  <sheetData>
    <row r="2" spans="2:67" ht="36.75" customHeight="1" x14ac:dyDescent="0.2">
      <c r="N2" s="5"/>
      <c r="O2" s="353" t="s">
        <v>195</v>
      </c>
      <c r="P2" s="354"/>
      <c r="Q2" s="353" t="s">
        <v>196</v>
      </c>
      <c r="R2" s="354"/>
      <c r="S2" s="353" t="s">
        <v>197</v>
      </c>
      <c r="T2" s="354"/>
      <c r="U2" s="353" t="s">
        <v>198</v>
      </c>
      <c r="V2" s="354"/>
      <c r="W2" s="353" t="s">
        <v>199</v>
      </c>
      <c r="X2" s="354"/>
      <c r="Y2" s="353" t="s">
        <v>200</v>
      </c>
      <c r="Z2" s="354"/>
      <c r="AA2" s="353" t="s">
        <v>201</v>
      </c>
      <c r="AB2" s="354"/>
      <c r="AC2" s="353" t="s">
        <v>202</v>
      </c>
      <c r="AD2" s="354"/>
      <c r="AE2" s="353" t="s">
        <v>203</v>
      </c>
      <c r="AF2" s="354"/>
      <c r="AG2" s="353" t="s">
        <v>204</v>
      </c>
      <c r="AH2" s="354"/>
      <c r="AI2" s="353" t="s">
        <v>205</v>
      </c>
      <c r="AJ2" s="354"/>
      <c r="AK2" s="353" t="s">
        <v>206</v>
      </c>
      <c r="AL2" s="354"/>
      <c r="AM2" s="350" t="s">
        <v>207</v>
      </c>
      <c r="AN2" s="351"/>
      <c r="AO2" s="350" t="s">
        <v>208</v>
      </c>
      <c r="AP2" s="351"/>
      <c r="AQ2" s="350" t="s">
        <v>209</v>
      </c>
      <c r="AR2" s="351"/>
      <c r="AS2" s="350" t="s">
        <v>210</v>
      </c>
      <c r="AT2" s="351"/>
      <c r="AU2" s="350" t="s">
        <v>211</v>
      </c>
      <c r="AV2" s="351"/>
      <c r="AW2" s="350" t="s">
        <v>212</v>
      </c>
      <c r="AX2" s="351"/>
      <c r="AY2" s="350" t="s">
        <v>213</v>
      </c>
      <c r="AZ2" s="351"/>
      <c r="BA2" s="350" t="s">
        <v>214</v>
      </c>
      <c r="BB2" s="351"/>
      <c r="BC2" s="350" t="s">
        <v>215</v>
      </c>
      <c r="BD2" s="351"/>
      <c r="BE2" s="350" t="s">
        <v>216</v>
      </c>
      <c r="BF2" s="351"/>
      <c r="BG2" s="350" t="s">
        <v>217</v>
      </c>
      <c r="BH2" s="351"/>
      <c r="BI2" s="350" t="s">
        <v>218</v>
      </c>
      <c r="BJ2" s="355"/>
      <c r="BK2" s="352" t="s">
        <v>219</v>
      </c>
      <c r="BL2" s="352"/>
      <c r="BM2" s="352" t="s">
        <v>220</v>
      </c>
      <c r="BN2" s="352"/>
    </row>
    <row r="3" spans="2:67" ht="25.5" x14ac:dyDescent="0.2">
      <c r="B3" s="48" t="s">
        <v>0</v>
      </c>
      <c r="C3" s="48" t="s">
        <v>221</v>
      </c>
      <c r="D3" s="48" t="s">
        <v>222</v>
      </c>
      <c r="E3" s="48" t="s">
        <v>223</v>
      </c>
      <c r="F3" s="48" t="s">
        <v>224</v>
      </c>
      <c r="G3" s="48" t="s">
        <v>16</v>
      </c>
      <c r="H3" s="48" t="s">
        <v>17</v>
      </c>
      <c r="I3" s="48" t="s">
        <v>4</v>
      </c>
      <c r="J3" s="48" t="s">
        <v>5</v>
      </c>
      <c r="K3" s="49" t="s">
        <v>225</v>
      </c>
      <c r="L3" s="48" t="s">
        <v>14</v>
      </c>
      <c r="M3" s="48" t="s">
        <v>226</v>
      </c>
      <c r="N3" s="50">
        <v>2023</v>
      </c>
      <c r="O3" s="51" t="s">
        <v>227</v>
      </c>
      <c r="P3" s="50" t="s">
        <v>228</v>
      </c>
      <c r="Q3" s="51" t="s">
        <v>227</v>
      </c>
      <c r="R3" s="50" t="s">
        <v>228</v>
      </c>
      <c r="S3" s="51" t="s">
        <v>227</v>
      </c>
      <c r="T3" s="50" t="s">
        <v>228</v>
      </c>
      <c r="U3" s="51" t="s">
        <v>227</v>
      </c>
      <c r="V3" s="50" t="s">
        <v>228</v>
      </c>
      <c r="W3" s="51" t="s">
        <v>227</v>
      </c>
      <c r="X3" s="50" t="s">
        <v>228</v>
      </c>
      <c r="Y3" s="51" t="s">
        <v>227</v>
      </c>
      <c r="Z3" s="50" t="s">
        <v>228</v>
      </c>
      <c r="AA3" s="51" t="s">
        <v>227</v>
      </c>
      <c r="AB3" s="50" t="s">
        <v>228</v>
      </c>
      <c r="AC3" s="51" t="s">
        <v>227</v>
      </c>
      <c r="AD3" s="50" t="s">
        <v>228</v>
      </c>
      <c r="AE3" s="51" t="s">
        <v>227</v>
      </c>
      <c r="AF3" s="50" t="s">
        <v>228</v>
      </c>
      <c r="AG3" s="51" t="s">
        <v>227</v>
      </c>
      <c r="AH3" s="50" t="s">
        <v>228</v>
      </c>
      <c r="AI3" s="51" t="s">
        <v>227</v>
      </c>
      <c r="AJ3" s="50" t="s">
        <v>228</v>
      </c>
      <c r="AK3" s="51" t="s">
        <v>227</v>
      </c>
      <c r="AL3" s="50" t="s">
        <v>228</v>
      </c>
      <c r="AM3" s="52" t="s">
        <v>227</v>
      </c>
      <c r="AN3" s="53" t="s">
        <v>228</v>
      </c>
      <c r="AO3" s="52" t="s">
        <v>227</v>
      </c>
      <c r="AP3" s="53" t="s">
        <v>228</v>
      </c>
      <c r="AQ3" s="52" t="s">
        <v>227</v>
      </c>
      <c r="AR3" s="53" t="s">
        <v>228</v>
      </c>
      <c r="AS3" s="52" t="s">
        <v>227</v>
      </c>
      <c r="AT3" s="53" t="s">
        <v>228</v>
      </c>
      <c r="AU3" s="52" t="s">
        <v>227</v>
      </c>
      <c r="AV3" s="53" t="s">
        <v>228</v>
      </c>
      <c r="AW3" s="52" t="s">
        <v>227</v>
      </c>
      <c r="AX3" s="53" t="s">
        <v>228</v>
      </c>
      <c r="AY3" s="52" t="s">
        <v>227</v>
      </c>
      <c r="AZ3" s="53" t="s">
        <v>228</v>
      </c>
      <c r="BA3" s="52" t="s">
        <v>227</v>
      </c>
      <c r="BB3" s="53" t="s">
        <v>228</v>
      </c>
      <c r="BC3" s="52" t="s">
        <v>227</v>
      </c>
      <c r="BD3" s="53" t="s">
        <v>228</v>
      </c>
      <c r="BE3" s="52" t="s">
        <v>227</v>
      </c>
      <c r="BF3" s="53" t="s">
        <v>228</v>
      </c>
      <c r="BG3" s="52" t="s">
        <v>227</v>
      </c>
      <c r="BH3" s="53" t="s">
        <v>228</v>
      </c>
      <c r="BI3" s="52" t="s">
        <v>227</v>
      </c>
      <c r="BJ3" s="53" t="s">
        <v>228</v>
      </c>
      <c r="BK3" s="316" t="s">
        <v>227</v>
      </c>
      <c r="BL3" s="315" t="s">
        <v>228</v>
      </c>
      <c r="BM3" s="316" t="s">
        <v>227</v>
      </c>
      <c r="BN3" s="315" t="s">
        <v>228</v>
      </c>
      <c r="BO3" s="54" t="s">
        <v>229</v>
      </c>
    </row>
    <row r="4" spans="2:67" ht="28.5" customHeight="1" x14ac:dyDescent="0.2">
      <c r="B4" s="60"/>
      <c r="C4" s="62" t="str">
        <f>'Portafolio P&amp;D'!B3</f>
        <v>Iniciativa</v>
      </c>
      <c r="D4" s="61" t="str">
        <f>'Portafolio P&amp;D'!C3</f>
        <v>Proyecto 1</v>
      </c>
      <c r="E4" s="205">
        <f>'Portafolio P&amp;D'!D3</f>
        <v>0</v>
      </c>
      <c r="F4" s="208" t="str">
        <f>'Portafolio P&amp;D'!AD3</f>
        <v>04. Cerrado</v>
      </c>
      <c r="G4" s="62">
        <f ca="1">'Portafolio P&amp;D'!Q3</f>
        <v>2022</v>
      </c>
      <c r="H4" s="62">
        <f ca="1">'Portafolio P&amp;D'!R3</f>
        <v>2024</v>
      </c>
      <c r="I4" s="62" t="str">
        <f>'Portafolio P&amp;D'!E3</f>
        <v>G1</v>
      </c>
      <c r="J4" s="62" t="str">
        <f>'Portafolio P&amp;D'!F3</f>
        <v>Lider 1</v>
      </c>
      <c r="K4" s="63">
        <f ca="1">'Portafolio P&amp;D'!I3</f>
        <v>70305</v>
      </c>
      <c r="L4" s="62" t="str">
        <f>'Portafolio P&amp;D'!O3</f>
        <v>Dimension 1</v>
      </c>
      <c r="M4" s="62">
        <f>'Portafolio P&amp;D'!P3</f>
        <v>0</v>
      </c>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8"/>
      <c r="BK4" s="60"/>
      <c r="BL4" s="68"/>
      <c r="BM4" s="68"/>
      <c r="BN4" s="68"/>
      <c r="BO4" s="210"/>
    </row>
    <row r="5" spans="2:67" ht="30" customHeight="1" x14ac:dyDescent="0.2">
      <c r="B5" s="55"/>
      <c r="C5" s="56" t="str">
        <f>'Portafolio P&amp;D'!B4</f>
        <v>Iniciativa</v>
      </c>
      <c r="D5" s="216" t="str">
        <f>'Portafolio P&amp;D'!C4</f>
        <v>Proyecto 2</v>
      </c>
      <c r="E5" s="206">
        <f>'Portafolio P&amp;D'!D4</f>
        <v>0</v>
      </c>
      <c r="F5" s="208" t="str">
        <f>'Portafolio P&amp;D'!AD4</f>
        <v>04. Cerrado</v>
      </c>
      <c r="G5" s="56">
        <f ca="1">'Portafolio P&amp;D'!Q4</f>
        <v>2026</v>
      </c>
      <c r="H5" s="56">
        <f ca="1">'Portafolio P&amp;D'!R4</f>
        <v>2028</v>
      </c>
      <c r="I5" s="56" t="str">
        <f>'Portafolio P&amp;D'!E4</f>
        <v>G1</v>
      </c>
      <c r="J5" s="56" t="str">
        <f>'Portafolio P&amp;D'!F4</f>
        <v>Lider 2</v>
      </c>
      <c r="K5" s="57">
        <f ca="1">'Portafolio P&amp;D'!I4</f>
        <v>91002</v>
      </c>
      <c r="L5" s="56" t="str">
        <f>'Portafolio P&amp;D'!O4</f>
        <v>Dimension 1</v>
      </c>
      <c r="M5" s="56">
        <f>'Portafolio P&amp;D'!P4</f>
        <v>0</v>
      </c>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8"/>
      <c r="BK5" s="55"/>
      <c r="BL5" s="58"/>
      <c r="BM5" s="58"/>
      <c r="BN5" s="58"/>
      <c r="BO5" s="59"/>
    </row>
    <row r="6" spans="2:67" ht="79.5" customHeight="1" x14ac:dyDescent="0.2">
      <c r="B6" s="60">
        <v>1</v>
      </c>
      <c r="C6" s="62">
        <f>'Portafolio P&amp;D'!B35</f>
        <v>0</v>
      </c>
      <c r="D6" s="61" t="str">
        <f>'Portafolio P&amp;D'!C35</f>
        <v>Proyecto 33</v>
      </c>
      <c r="E6" s="205">
        <f>'Portafolio P&amp;D'!D35</f>
        <v>0</v>
      </c>
      <c r="F6" s="61" t="str">
        <f>'Portafolio P&amp;D'!AD35</f>
        <v>02. En Curso</v>
      </c>
      <c r="G6" s="62">
        <f ca="1">'Portafolio P&amp;D'!Q35</f>
        <v>2024</v>
      </c>
      <c r="H6" s="62">
        <f ca="1">'Portafolio P&amp;D'!R35</f>
        <v>2026</v>
      </c>
      <c r="I6" s="62" t="str">
        <f>'Portafolio P&amp;D'!E35</f>
        <v>G2</v>
      </c>
      <c r="J6" s="62" t="str">
        <f>'Portafolio P&amp;D'!F35</f>
        <v>Lider 33</v>
      </c>
      <c r="K6" s="63">
        <f ca="1">'Portafolio P&amp;D'!I35</f>
        <v>86413</v>
      </c>
      <c r="L6" s="62" t="str">
        <f>'Portafolio P&amp;D'!O35</f>
        <v>Dimension 2</v>
      </c>
      <c r="M6" s="62">
        <f>'Portafolio P&amp;D'!P35</f>
        <v>0</v>
      </c>
      <c r="N6" s="60" t="s">
        <v>32</v>
      </c>
      <c r="O6" s="60" t="s">
        <v>32</v>
      </c>
      <c r="P6" s="60" t="s">
        <v>32</v>
      </c>
      <c r="Q6" s="60" t="s">
        <v>32</v>
      </c>
      <c r="R6" s="60" t="s">
        <v>32</v>
      </c>
      <c r="S6" s="64" t="s">
        <v>32</v>
      </c>
      <c r="T6" s="64" t="s">
        <v>32</v>
      </c>
      <c r="U6" s="64" t="s">
        <v>32</v>
      </c>
      <c r="V6" s="64" t="s">
        <v>32</v>
      </c>
      <c r="W6" s="64">
        <v>0.31</v>
      </c>
      <c r="X6" s="64">
        <v>0.31</v>
      </c>
      <c r="Y6" s="64">
        <v>0.34</v>
      </c>
      <c r="Z6" s="64">
        <v>0.35</v>
      </c>
      <c r="AA6" s="64">
        <v>0.38</v>
      </c>
      <c r="AB6" s="64">
        <v>0.36</v>
      </c>
      <c r="AC6" s="64">
        <v>0.43</v>
      </c>
      <c r="AD6" s="64">
        <v>0.42</v>
      </c>
      <c r="AE6" s="64">
        <v>0.5</v>
      </c>
      <c r="AF6" s="64">
        <v>0.44</v>
      </c>
      <c r="AG6" s="64">
        <v>0.53</v>
      </c>
      <c r="AH6" s="64">
        <v>0.5</v>
      </c>
      <c r="AI6" s="64">
        <v>0.56999999999999995</v>
      </c>
      <c r="AJ6" s="64">
        <v>0.51</v>
      </c>
      <c r="AK6" s="64">
        <v>0.33</v>
      </c>
      <c r="AL6" s="64">
        <v>0.35</v>
      </c>
      <c r="AM6" s="64">
        <v>0.36</v>
      </c>
      <c r="AN6" s="64">
        <v>0.35</v>
      </c>
      <c r="AO6" s="64">
        <v>0.39</v>
      </c>
      <c r="AP6" s="64">
        <v>0.36</v>
      </c>
      <c r="AQ6" s="64">
        <v>0.42</v>
      </c>
      <c r="AR6" s="64">
        <v>0.37</v>
      </c>
      <c r="AS6" s="64">
        <v>0.45</v>
      </c>
      <c r="AT6" s="64">
        <v>0.37</v>
      </c>
      <c r="AU6" s="64">
        <v>0.48</v>
      </c>
      <c r="AV6" s="64">
        <v>0.37</v>
      </c>
      <c r="AW6" s="64">
        <v>0.49</v>
      </c>
      <c r="AX6" s="64">
        <v>0.39</v>
      </c>
      <c r="AY6" s="64">
        <v>0.6</v>
      </c>
      <c r="AZ6" s="64">
        <v>0.39</v>
      </c>
      <c r="BA6" s="64">
        <v>0.61</v>
      </c>
      <c r="BB6" s="64">
        <v>0.38</v>
      </c>
      <c r="BC6" s="64">
        <v>0.66</v>
      </c>
      <c r="BD6" s="64">
        <v>0.44</v>
      </c>
      <c r="BE6" s="64">
        <v>0.74</v>
      </c>
      <c r="BF6" s="64">
        <v>0.41</v>
      </c>
      <c r="BG6" s="64">
        <v>0.76</v>
      </c>
      <c r="BH6" s="64">
        <v>0.75</v>
      </c>
      <c r="BI6" s="64">
        <v>0.76</v>
      </c>
      <c r="BJ6" s="313">
        <v>0.76</v>
      </c>
      <c r="BK6" s="64">
        <v>0.41</v>
      </c>
      <c r="BL6" s="313">
        <v>0.36</v>
      </c>
      <c r="BM6" s="313">
        <v>0.49</v>
      </c>
      <c r="BN6" s="313">
        <v>0.36</v>
      </c>
      <c r="BO6" s="70" t="s">
        <v>230</v>
      </c>
    </row>
    <row r="7" spans="2:67" ht="80.25" customHeight="1" x14ac:dyDescent="0.2">
      <c r="B7" s="55">
        <v>2</v>
      </c>
      <c r="C7" s="55">
        <f>'Portafolio P&amp;D'!B7</f>
        <v>0</v>
      </c>
      <c r="D7" s="66" t="str">
        <f>'Portafolio P&amp;D'!C7</f>
        <v>Proyecto 5</v>
      </c>
      <c r="E7" s="206">
        <f>'Portafolio P&amp;D'!D7</f>
        <v>0</v>
      </c>
      <c r="F7" s="216" t="str">
        <f>'Portafolio P&amp;D'!AD7</f>
        <v>02. En Curso</v>
      </c>
      <c r="G7" s="56">
        <f ca="1">'Portafolio P&amp;D'!Q7</f>
        <v>2025</v>
      </c>
      <c r="H7" s="56">
        <f ca="1">'Portafolio P&amp;D'!R7</f>
        <v>2027</v>
      </c>
      <c r="I7" s="56" t="str">
        <f>'Portafolio P&amp;D'!E7</f>
        <v>G1</v>
      </c>
      <c r="J7" s="56" t="str">
        <f>'Portafolio P&amp;D'!F7</f>
        <v>Lider 5</v>
      </c>
      <c r="K7" s="57">
        <f ca="1">'Portafolio P&amp;D'!I7</f>
        <v>42718</v>
      </c>
      <c r="L7" s="56" t="str">
        <f>'Portafolio P&amp;D'!O7</f>
        <v>Dimension 1</v>
      </c>
      <c r="M7" s="56">
        <f>'Portafolio P&amp;D'!P7</f>
        <v>0</v>
      </c>
      <c r="N7" s="55" t="s">
        <v>32</v>
      </c>
      <c r="O7" s="67">
        <v>0.32</v>
      </c>
      <c r="P7" s="67">
        <v>0.22</v>
      </c>
      <c r="Q7" s="67">
        <v>0.38</v>
      </c>
      <c r="R7" s="67">
        <v>0.22</v>
      </c>
      <c r="S7" s="67">
        <v>0.31</v>
      </c>
      <c r="T7" s="67">
        <v>0.08</v>
      </c>
      <c r="U7" s="67">
        <v>0.38</v>
      </c>
      <c r="V7" s="67">
        <v>0.08</v>
      </c>
      <c r="W7" s="67">
        <v>0.3</v>
      </c>
      <c r="X7" s="67">
        <v>0.3</v>
      </c>
      <c r="Y7" s="67">
        <v>0.35</v>
      </c>
      <c r="Z7" s="67">
        <v>0.32</v>
      </c>
      <c r="AA7" s="67">
        <v>0.47</v>
      </c>
      <c r="AB7" s="67">
        <v>0.32</v>
      </c>
      <c r="AC7" s="67">
        <v>0.49</v>
      </c>
      <c r="AD7" s="67">
        <v>0.34</v>
      </c>
      <c r="AE7" s="67">
        <v>0.55000000000000004</v>
      </c>
      <c r="AF7" s="67">
        <v>0.48</v>
      </c>
      <c r="AG7" s="67">
        <v>0.61</v>
      </c>
      <c r="AH7" s="67">
        <v>0.51</v>
      </c>
      <c r="AI7" s="67">
        <v>0.63</v>
      </c>
      <c r="AJ7" s="67">
        <v>0.55000000000000004</v>
      </c>
      <c r="AK7" s="67">
        <v>0.34</v>
      </c>
      <c r="AL7" s="67">
        <v>0.34</v>
      </c>
      <c r="AM7" s="67">
        <v>0.36</v>
      </c>
      <c r="AN7" s="67">
        <v>0.35</v>
      </c>
      <c r="AO7" s="67">
        <v>0.37</v>
      </c>
      <c r="AP7" s="67">
        <v>0.36</v>
      </c>
      <c r="AQ7" s="67">
        <v>0.39</v>
      </c>
      <c r="AR7" s="67">
        <v>0.38</v>
      </c>
      <c r="AS7" s="67">
        <v>0.4</v>
      </c>
      <c r="AT7" s="67">
        <v>0.42</v>
      </c>
      <c r="AU7" s="67">
        <v>0.41</v>
      </c>
      <c r="AV7" s="67">
        <v>0.43</v>
      </c>
      <c r="AW7" s="67">
        <v>0.43</v>
      </c>
      <c r="AX7" s="67">
        <v>0.43</v>
      </c>
      <c r="AY7" s="67">
        <v>0.52</v>
      </c>
      <c r="AZ7" s="67">
        <v>0.46</v>
      </c>
      <c r="BA7" s="67">
        <v>0.66</v>
      </c>
      <c r="BB7" s="67">
        <v>0.46</v>
      </c>
      <c r="BC7" s="67">
        <v>0.66</v>
      </c>
      <c r="BD7" s="67">
        <v>0.5</v>
      </c>
      <c r="BE7" s="67">
        <v>0.85</v>
      </c>
      <c r="BF7" s="67">
        <v>0.51</v>
      </c>
      <c r="BG7" s="67">
        <v>0.89</v>
      </c>
      <c r="BH7" s="67">
        <v>0.85</v>
      </c>
      <c r="BI7" s="67">
        <v>0.94</v>
      </c>
      <c r="BJ7" s="312">
        <v>0.86</v>
      </c>
      <c r="BK7" s="67">
        <v>0.99</v>
      </c>
      <c r="BL7" s="312">
        <v>0.74</v>
      </c>
      <c r="BM7" s="312">
        <v>0.86</v>
      </c>
      <c r="BN7" s="312">
        <v>0.84</v>
      </c>
      <c r="BO7" s="70" t="s">
        <v>231</v>
      </c>
    </row>
    <row r="8" spans="2:67" ht="33" customHeight="1" x14ac:dyDescent="0.2">
      <c r="B8" s="60"/>
      <c r="C8" s="62" t="str">
        <f>'Portafolio P&amp;D'!B5</f>
        <v>Iniciativa</v>
      </c>
      <c r="D8" s="61" t="str">
        <f>'Portafolio P&amp;D'!C5</f>
        <v>Proyecto 3</v>
      </c>
      <c r="E8" s="205">
        <f>'Portafolio P&amp;D'!D5</f>
        <v>0</v>
      </c>
      <c r="F8" s="208" t="str">
        <f>'Portafolio P&amp;D'!AD5</f>
        <v>04. Cerrado</v>
      </c>
      <c r="G8" s="62">
        <f ca="1">'Portafolio P&amp;D'!Q5</f>
        <v>2020</v>
      </c>
      <c r="H8" s="62">
        <f ca="1">'Portafolio P&amp;D'!R5</f>
        <v>2022</v>
      </c>
      <c r="I8" s="62" t="str">
        <f>'Portafolio P&amp;D'!E5</f>
        <v>G1</v>
      </c>
      <c r="J8" s="62" t="str">
        <f>'Portafolio P&amp;D'!F5</f>
        <v>Lider 3</v>
      </c>
      <c r="K8" s="63">
        <f ca="1">'Portafolio P&amp;D'!I5</f>
        <v>48611</v>
      </c>
      <c r="L8" s="62" t="str">
        <f>'Portafolio P&amp;D'!O5</f>
        <v>Dimension 1</v>
      </c>
      <c r="M8" s="62">
        <f>'Portafolio P&amp;D'!P5</f>
        <v>0</v>
      </c>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8"/>
      <c r="BK8" s="60"/>
      <c r="BL8" s="68"/>
      <c r="BM8" s="68"/>
      <c r="BN8" s="68"/>
      <c r="BO8" s="210"/>
    </row>
    <row r="9" spans="2:67" ht="37.5" customHeight="1" x14ac:dyDescent="0.2">
      <c r="B9" s="55"/>
      <c r="C9" s="56" t="str">
        <f>'Portafolio P&amp;D'!B6</f>
        <v>Iniciativa</v>
      </c>
      <c r="D9" s="216" t="str">
        <f>'Portafolio P&amp;D'!C6</f>
        <v>Proyecto 4</v>
      </c>
      <c r="E9" s="207">
        <f>'Portafolio P&amp;D'!D6</f>
        <v>0</v>
      </c>
      <c r="F9" s="208" t="str">
        <f>'Portafolio P&amp;D'!AD6</f>
        <v>04. Cerrado</v>
      </c>
      <c r="G9" s="56">
        <f ca="1">'Portafolio P&amp;D'!Q6</f>
        <v>2021</v>
      </c>
      <c r="H9" s="56">
        <f ca="1">'Portafolio P&amp;D'!R6</f>
        <v>2023</v>
      </c>
      <c r="I9" s="56" t="str">
        <f>'Portafolio P&amp;D'!E6</f>
        <v>G1</v>
      </c>
      <c r="J9" s="56" t="str">
        <f>'Portafolio P&amp;D'!F6</f>
        <v>Lider 4</v>
      </c>
      <c r="K9" s="57">
        <f ca="1">'Portafolio P&amp;D'!I6</f>
        <v>53926</v>
      </c>
      <c r="L9" s="56" t="str">
        <f>'Portafolio P&amp;D'!O6</f>
        <v>Dimension 1</v>
      </c>
      <c r="M9" s="56">
        <f>'Portafolio P&amp;D'!P6</f>
        <v>0</v>
      </c>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8"/>
      <c r="BK9" s="55"/>
      <c r="BL9" s="58"/>
      <c r="BM9" s="58"/>
      <c r="BN9" s="58"/>
      <c r="BO9" s="59"/>
    </row>
    <row r="10" spans="2:67" ht="216.75" x14ac:dyDescent="0.2">
      <c r="B10" s="60">
        <v>3</v>
      </c>
      <c r="C10" s="62">
        <f>'Portafolio P&amp;D'!B9</f>
        <v>0</v>
      </c>
      <c r="D10" s="61" t="str">
        <f>'Portafolio P&amp;D'!C9</f>
        <v>Proyecto 7</v>
      </c>
      <c r="E10" s="205">
        <f>'Portafolio P&amp;D'!D9</f>
        <v>0</v>
      </c>
      <c r="F10" s="61" t="str">
        <f>'Portafolio P&amp;D'!AD9</f>
        <v>02. En Curso</v>
      </c>
      <c r="G10" s="62">
        <f ca="1">'Portafolio P&amp;D'!Q9</f>
        <v>2024</v>
      </c>
      <c r="H10" s="62">
        <f ca="1">'Portafolio P&amp;D'!R9</f>
        <v>2026</v>
      </c>
      <c r="I10" s="62" t="str">
        <f>'Portafolio P&amp;D'!E9</f>
        <v>G1</v>
      </c>
      <c r="J10" s="62" t="str">
        <f>'Portafolio P&amp;D'!F9</f>
        <v>Lider 7</v>
      </c>
      <c r="K10" s="63">
        <f ca="1">'Portafolio P&amp;D'!I9</f>
        <v>14855</v>
      </c>
      <c r="L10" s="62" t="str">
        <f>'Portafolio P&amp;D'!O9</f>
        <v>Dimension 1</v>
      </c>
      <c r="M10" s="62">
        <f>'Portafolio P&amp;D'!P9</f>
        <v>0</v>
      </c>
      <c r="N10" s="60" t="s">
        <v>32</v>
      </c>
      <c r="O10" s="64">
        <v>0.59</v>
      </c>
      <c r="P10" s="64">
        <v>0.47</v>
      </c>
      <c r="Q10" s="64">
        <v>0.61</v>
      </c>
      <c r="R10" s="64">
        <v>0.48</v>
      </c>
      <c r="S10" s="64">
        <v>0.45</v>
      </c>
      <c r="T10" s="64">
        <v>0.23</v>
      </c>
      <c r="U10" s="64">
        <v>0.45</v>
      </c>
      <c r="V10" s="64">
        <v>0.23</v>
      </c>
      <c r="W10" s="64">
        <v>0.44</v>
      </c>
      <c r="X10" s="64">
        <v>0.38</v>
      </c>
      <c r="Y10" s="64">
        <v>0.48</v>
      </c>
      <c r="Z10" s="64">
        <v>0.39</v>
      </c>
      <c r="AA10" s="64">
        <v>0.55000000000000004</v>
      </c>
      <c r="AB10" s="64">
        <v>0.41</v>
      </c>
      <c r="AC10" s="64">
        <v>0.6</v>
      </c>
      <c r="AD10" s="64">
        <v>0.41</v>
      </c>
      <c r="AE10" s="64">
        <v>0.65</v>
      </c>
      <c r="AF10" s="64">
        <v>0.42</v>
      </c>
      <c r="AG10" s="64">
        <v>0.7</v>
      </c>
      <c r="AH10" s="64">
        <v>0.44</v>
      </c>
      <c r="AI10" s="64">
        <v>0.74</v>
      </c>
      <c r="AJ10" s="64">
        <v>0.46</v>
      </c>
      <c r="AK10" s="64">
        <v>0.63</v>
      </c>
      <c r="AL10" s="64">
        <v>0.57999999999999996</v>
      </c>
      <c r="AM10" s="64">
        <v>0.52</v>
      </c>
      <c r="AN10" s="64">
        <v>0.67</v>
      </c>
      <c r="AO10" s="64">
        <v>0.72</v>
      </c>
      <c r="AP10" s="64">
        <v>0.69</v>
      </c>
      <c r="AQ10" s="64">
        <v>0.9</v>
      </c>
      <c r="AR10" s="64">
        <v>0.7</v>
      </c>
      <c r="AS10" s="64">
        <v>1</v>
      </c>
      <c r="AT10" s="64">
        <v>0.77</v>
      </c>
      <c r="AU10" s="64">
        <v>1</v>
      </c>
      <c r="AV10" s="64">
        <v>0.81</v>
      </c>
      <c r="AW10" s="64">
        <v>1</v>
      </c>
      <c r="AX10" s="64">
        <v>0.82</v>
      </c>
      <c r="AY10" s="64">
        <v>1</v>
      </c>
      <c r="AZ10" s="64">
        <v>0.76</v>
      </c>
      <c r="BA10" s="64">
        <v>1</v>
      </c>
      <c r="BB10" s="64">
        <v>0.76</v>
      </c>
      <c r="BC10" s="64">
        <v>1</v>
      </c>
      <c r="BD10" s="64">
        <v>0.76</v>
      </c>
      <c r="BE10" s="64">
        <v>1</v>
      </c>
      <c r="BF10" s="64">
        <v>0.76</v>
      </c>
      <c r="BG10" s="64">
        <v>0.62</v>
      </c>
      <c r="BH10" s="64">
        <v>0.65</v>
      </c>
      <c r="BI10" s="64">
        <v>0.64</v>
      </c>
      <c r="BJ10" s="313">
        <v>0.59</v>
      </c>
      <c r="BK10" s="64">
        <v>0.96</v>
      </c>
      <c r="BL10" s="313">
        <v>0.72</v>
      </c>
      <c r="BM10" s="313">
        <v>0.71</v>
      </c>
      <c r="BN10" s="313">
        <v>0.71</v>
      </c>
      <c r="BO10" s="65" t="s">
        <v>232</v>
      </c>
    </row>
    <row r="11" spans="2:67" ht="120.75" customHeight="1" x14ac:dyDescent="0.2">
      <c r="B11" s="55">
        <v>4</v>
      </c>
      <c r="C11" s="55">
        <f>'Portafolio P&amp;D'!B29</f>
        <v>0</v>
      </c>
      <c r="D11" s="216" t="str">
        <f>'Portafolio P&amp;D'!C29</f>
        <v>Proyecto 27</v>
      </c>
      <c r="E11" s="206">
        <f>'Portafolio P&amp;D'!D29</f>
        <v>0</v>
      </c>
      <c r="F11" s="69" t="str">
        <f>'Portafolio P&amp;D'!AD29</f>
        <v>03. Implementado</v>
      </c>
      <c r="G11" s="56">
        <f ca="1">'Portafolio P&amp;D'!Q29</f>
        <v>2021</v>
      </c>
      <c r="H11" s="56">
        <f ca="1">'Portafolio P&amp;D'!R29</f>
        <v>2023</v>
      </c>
      <c r="I11" s="56" t="str">
        <f>'Portafolio P&amp;D'!E29</f>
        <v>G2</v>
      </c>
      <c r="J11" s="56" t="str">
        <f>'Portafolio P&amp;D'!F29</f>
        <v>Lider 27</v>
      </c>
      <c r="K11" s="57">
        <f ca="1">'Portafolio P&amp;D'!I29</f>
        <v>4274</v>
      </c>
      <c r="L11" s="56" t="str">
        <f>'Portafolio P&amp;D'!O29</f>
        <v>Dimension 2</v>
      </c>
      <c r="M11" s="56">
        <f>'Portafolio P&amp;D'!P29</f>
        <v>0</v>
      </c>
      <c r="N11" s="67">
        <v>1</v>
      </c>
      <c r="O11" s="55" t="s">
        <v>32</v>
      </c>
      <c r="P11" s="55" t="s">
        <v>32</v>
      </c>
      <c r="Q11" s="55" t="s">
        <v>32</v>
      </c>
      <c r="R11" s="55" t="s">
        <v>32</v>
      </c>
      <c r="S11" s="55" t="s">
        <v>32</v>
      </c>
      <c r="T11" s="55" t="s">
        <v>32</v>
      </c>
      <c r="U11" s="55" t="s">
        <v>32</v>
      </c>
      <c r="V11" s="55" t="s">
        <v>32</v>
      </c>
      <c r="W11" s="55" t="s">
        <v>32</v>
      </c>
      <c r="X11" s="55" t="s">
        <v>32</v>
      </c>
      <c r="Y11" s="55" t="s">
        <v>32</v>
      </c>
      <c r="Z11" s="55" t="s">
        <v>32</v>
      </c>
      <c r="AA11" s="55" t="s">
        <v>32</v>
      </c>
      <c r="AB11" s="55" t="s">
        <v>32</v>
      </c>
      <c r="AC11" s="55" t="s">
        <v>32</v>
      </c>
      <c r="AD11" s="55" t="s">
        <v>32</v>
      </c>
      <c r="AE11" s="55" t="s">
        <v>32</v>
      </c>
      <c r="AF11" s="55" t="s">
        <v>32</v>
      </c>
      <c r="AG11" s="55" t="s">
        <v>32</v>
      </c>
      <c r="AH11" s="55" t="s">
        <v>32</v>
      </c>
      <c r="AI11" s="55" t="s">
        <v>32</v>
      </c>
      <c r="AJ11" s="55" t="s">
        <v>32</v>
      </c>
      <c r="AK11" s="55" t="s">
        <v>32</v>
      </c>
      <c r="AL11" s="55" t="s">
        <v>32</v>
      </c>
      <c r="AM11" s="55" t="s">
        <v>32</v>
      </c>
      <c r="AN11" s="55" t="s">
        <v>32</v>
      </c>
      <c r="AO11" s="67">
        <v>1</v>
      </c>
      <c r="AP11" s="67">
        <v>1</v>
      </c>
      <c r="AQ11" s="67">
        <v>1</v>
      </c>
      <c r="AR11" s="67">
        <v>1</v>
      </c>
      <c r="AS11" s="67">
        <v>1</v>
      </c>
      <c r="AT11" s="67">
        <v>1</v>
      </c>
      <c r="AU11" s="67">
        <v>1</v>
      </c>
      <c r="AV11" s="67">
        <v>1</v>
      </c>
      <c r="AW11" s="67">
        <v>1</v>
      </c>
      <c r="AX11" s="67">
        <v>1</v>
      </c>
      <c r="AY11" s="67">
        <v>1</v>
      </c>
      <c r="AZ11" s="67">
        <v>1</v>
      </c>
      <c r="BA11" s="67">
        <v>1</v>
      </c>
      <c r="BB11" s="67">
        <v>1</v>
      </c>
      <c r="BC11" s="67">
        <v>1</v>
      </c>
      <c r="BD11" s="67">
        <v>1</v>
      </c>
      <c r="BE11" s="67">
        <v>1</v>
      </c>
      <c r="BF11" s="67">
        <v>1</v>
      </c>
      <c r="BG11" s="67">
        <v>1</v>
      </c>
      <c r="BH11" s="67">
        <v>1</v>
      </c>
      <c r="BI11" s="67">
        <v>1</v>
      </c>
      <c r="BJ11" s="312">
        <v>1</v>
      </c>
      <c r="BK11" s="67">
        <v>1</v>
      </c>
      <c r="BL11" s="312">
        <v>1</v>
      </c>
      <c r="BM11" s="67">
        <v>1</v>
      </c>
      <c r="BN11" s="312">
        <v>1</v>
      </c>
      <c r="BO11" s="317" t="s">
        <v>233</v>
      </c>
    </row>
    <row r="12" spans="2:67" ht="78.75" customHeight="1" x14ac:dyDescent="0.2">
      <c r="B12" s="60">
        <v>5</v>
      </c>
      <c r="C12" s="60">
        <f>'Portafolio P&amp;D'!B20</f>
        <v>0</v>
      </c>
      <c r="D12" s="61" t="str">
        <f>'Portafolio P&amp;D'!C20</f>
        <v>Proyecto 18</v>
      </c>
      <c r="E12" s="205">
        <f>'Portafolio P&amp;D'!D20</f>
        <v>0</v>
      </c>
      <c r="F12" s="69" t="str">
        <f>'Portafolio P&amp;D'!AD20</f>
        <v>03. Implementado</v>
      </c>
      <c r="G12" s="62">
        <f ca="1">'Portafolio P&amp;D'!Q20</f>
        <v>2022</v>
      </c>
      <c r="H12" s="62">
        <f ca="1">'Portafolio P&amp;D'!R20</f>
        <v>2024</v>
      </c>
      <c r="I12" s="62" t="str">
        <f>'Portafolio P&amp;D'!E20</f>
        <v>G1</v>
      </c>
      <c r="J12" s="62" t="str">
        <f>'Portafolio P&amp;D'!F20</f>
        <v>Lider 18</v>
      </c>
      <c r="K12" s="63">
        <f ca="1">'Portafolio P&amp;D'!I20</f>
        <v>75723</v>
      </c>
      <c r="L12" s="62" t="str">
        <f>'Portafolio P&amp;D'!O20</f>
        <v>Dimension 1</v>
      </c>
      <c r="M12" s="62">
        <f>'Portafolio P&amp;D'!P20</f>
        <v>0</v>
      </c>
      <c r="N12" s="60" t="s">
        <v>32</v>
      </c>
      <c r="O12" s="64">
        <v>0.53</v>
      </c>
      <c r="P12" s="64">
        <v>0.53</v>
      </c>
      <c r="Q12" s="64">
        <v>0.54</v>
      </c>
      <c r="R12" s="64">
        <v>0.53</v>
      </c>
      <c r="S12" s="64">
        <v>0.67</v>
      </c>
      <c r="T12" s="64">
        <v>0.43</v>
      </c>
      <c r="U12" s="64">
        <v>0.72</v>
      </c>
      <c r="V12" s="64">
        <v>0.54</v>
      </c>
      <c r="W12" s="64">
        <v>0.8</v>
      </c>
      <c r="X12" s="64">
        <v>0.72</v>
      </c>
      <c r="Y12" s="64">
        <v>0.6</v>
      </c>
      <c r="Z12" s="64">
        <v>0.6</v>
      </c>
      <c r="AA12" s="64">
        <v>0.7</v>
      </c>
      <c r="AB12" s="64">
        <v>0.68</v>
      </c>
      <c r="AC12" s="64">
        <v>0.77</v>
      </c>
      <c r="AD12" s="64">
        <v>0.74</v>
      </c>
      <c r="AE12" s="64">
        <v>0.86</v>
      </c>
      <c r="AF12" s="64">
        <v>0.83</v>
      </c>
      <c r="AG12" s="64">
        <v>0.94</v>
      </c>
      <c r="AH12" s="64">
        <v>0.87</v>
      </c>
      <c r="AI12" s="64">
        <v>0.99</v>
      </c>
      <c r="AJ12" s="64">
        <v>0.96</v>
      </c>
      <c r="AK12" s="64">
        <v>1</v>
      </c>
      <c r="AL12" s="64">
        <v>0.98</v>
      </c>
      <c r="AM12" s="64">
        <v>1</v>
      </c>
      <c r="AN12" s="64">
        <v>0.98</v>
      </c>
      <c r="AO12" s="64">
        <v>1</v>
      </c>
      <c r="AP12" s="64">
        <v>0.98</v>
      </c>
      <c r="AQ12" s="64">
        <v>1</v>
      </c>
      <c r="AR12" s="64">
        <v>0.98</v>
      </c>
      <c r="AS12" s="64">
        <v>1</v>
      </c>
      <c r="AT12" s="64">
        <v>1</v>
      </c>
      <c r="AU12" s="64">
        <v>1</v>
      </c>
      <c r="AV12" s="64">
        <v>1</v>
      </c>
      <c r="AW12" s="64">
        <v>1</v>
      </c>
      <c r="AX12" s="64">
        <v>1</v>
      </c>
      <c r="AY12" s="64">
        <v>1</v>
      </c>
      <c r="AZ12" s="64">
        <v>1</v>
      </c>
      <c r="BA12" s="64">
        <v>1</v>
      </c>
      <c r="BB12" s="64">
        <v>1</v>
      </c>
      <c r="BC12" s="64">
        <v>1</v>
      </c>
      <c r="BD12" s="64">
        <v>1</v>
      </c>
      <c r="BE12" s="64">
        <v>1</v>
      </c>
      <c r="BF12" s="64">
        <v>1</v>
      </c>
      <c r="BG12" s="64">
        <v>1</v>
      </c>
      <c r="BH12" s="64">
        <v>1</v>
      </c>
      <c r="BI12" s="64">
        <v>1</v>
      </c>
      <c r="BJ12" s="313">
        <v>1</v>
      </c>
      <c r="BK12" s="64">
        <v>1</v>
      </c>
      <c r="BL12" s="313">
        <v>1</v>
      </c>
      <c r="BM12" s="64">
        <v>1</v>
      </c>
      <c r="BN12" s="313">
        <v>1</v>
      </c>
      <c r="BO12" s="317" t="s">
        <v>234</v>
      </c>
    </row>
    <row r="13" spans="2:67" ht="80.25" customHeight="1" x14ac:dyDescent="0.2">
      <c r="B13" s="55">
        <v>6</v>
      </c>
      <c r="C13" s="55">
        <f>'Portafolio P&amp;D'!B16</f>
        <v>0</v>
      </c>
      <c r="D13" s="216" t="str">
        <f>'Portafolio P&amp;D'!C16</f>
        <v>Proyecto 14</v>
      </c>
      <c r="E13" s="206">
        <f>'Portafolio P&amp;D'!D16</f>
        <v>0</v>
      </c>
      <c r="F13" s="69" t="str">
        <f>'Portafolio P&amp;D'!AD16</f>
        <v>03. Implementado</v>
      </c>
      <c r="G13" s="56">
        <f ca="1">'Portafolio P&amp;D'!Q16</f>
        <v>2020</v>
      </c>
      <c r="H13" s="56">
        <f ca="1">'Portafolio P&amp;D'!R16</f>
        <v>2022</v>
      </c>
      <c r="I13" s="56" t="str">
        <f>'Portafolio P&amp;D'!E16</f>
        <v>G1</v>
      </c>
      <c r="J13" s="56" t="str">
        <f>'Portafolio P&amp;D'!F16</f>
        <v>Lider 14</v>
      </c>
      <c r="K13" s="57">
        <f ca="1">'Portafolio P&amp;D'!I16</f>
        <v>4467</v>
      </c>
      <c r="L13" s="56" t="str">
        <f>'Portafolio P&amp;D'!O16</f>
        <v>Dimension 1</v>
      </c>
      <c r="M13" s="56">
        <f>'Portafolio P&amp;D'!P16</f>
        <v>0</v>
      </c>
      <c r="N13" s="55" t="s">
        <v>32</v>
      </c>
      <c r="O13" s="67">
        <v>1</v>
      </c>
      <c r="P13" s="67">
        <v>0.99</v>
      </c>
      <c r="Q13" s="67">
        <v>1</v>
      </c>
      <c r="R13" s="67">
        <v>0.99</v>
      </c>
      <c r="S13" s="67">
        <v>1</v>
      </c>
      <c r="T13" s="67">
        <v>1</v>
      </c>
      <c r="U13" s="67">
        <v>1</v>
      </c>
      <c r="V13" s="67">
        <v>1</v>
      </c>
      <c r="W13" s="67">
        <v>1</v>
      </c>
      <c r="X13" s="67">
        <v>1</v>
      </c>
      <c r="Y13" s="67">
        <v>1</v>
      </c>
      <c r="Z13" s="67">
        <v>1</v>
      </c>
      <c r="AA13" s="67">
        <v>1</v>
      </c>
      <c r="AB13" s="67">
        <v>1</v>
      </c>
      <c r="AC13" s="67">
        <v>1</v>
      </c>
      <c r="AD13" s="67">
        <v>1</v>
      </c>
      <c r="AE13" s="67">
        <v>1</v>
      </c>
      <c r="AF13" s="67">
        <v>1</v>
      </c>
      <c r="AG13" s="67">
        <v>1</v>
      </c>
      <c r="AH13" s="67">
        <v>1</v>
      </c>
      <c r="AI13" s="67">
        <v>1</v>
      </c>
      <c r="AJ13" s="67">
        <v>1</v>
      </c>
      <c r="AK13" s="67">
        <v>1</v>
      </c>
      <c r="AL13" s="67">
        <v>1</v>
      </c>
      <c r="AM13" s="67">
        <v>1</v>
      </c>
      <c r="AN13" s="67">
        <v>1</v>
      </c>
      <c r="AO13" s="67">
        <v>1</v>
      </c>
      <c r="AP13" s="67">
        <v>1</v>
      </c>
      <c r="AQ13" s="67">
        <v>1</v>
      </c>
      <c r="AR13" s="67">
        <v>1</v>
      </c>
      <c r="AS13" s="67">
        <v>1</v>
      </c>
      <c r="AT13" s="67">
        <v>1</v>
      </c>
      <c r="AU13" s="67">
        <v>1</v>
      </c>
      <c r="AV13" s="67">
        <v>1</v>
      </c>
      <c r="AW13" s="67">
        <v>1</v>
      </c>
      <c r="AX13" s="67">
        <v>1</v>
      </c>
      <c r="AY13" s="67">
        <v>1</v>
      </c>
      <c r="AZ13" s="67">
        <v>1</v>
      </c>
      <c r="BA13" s="67">
        <v>1</v>
      </c>
      <c r="BB13" s="67">
        <v>1</v>
      </c>
      <c r="BC13" s="67">
        <v>1</v>
      </c>
      <c r="BD13" s="67">
        <v>1</v>
      </c>
      <c r="BE13" s="67">
        <v>1</v>
      </c>
      <c r="BF13" s="67">
        <v>1</v>
      </c>
      <c r="BG13" s="67">
        <v>1</v>
      </c>
      <c r="BH13" s="67">
        <v>1</v>
      </c>
      <c r="BI13" s="67">
        <v>1</v>
      </c>
      <c r="BJ13" s="312">
        <v>1</v>
      </c>
      <c r="BK13" s="67">
        <v>1</v>
      </c>
      <c r="BL13" s="312">
        <v>1</v>
      </c>
      <c r="BM13" s="67">
        <v>1</v>
      </c>
      <c r="BN13" s="312">
        <v>1</v>
      </c>
      <c r="BO13" s="317" t="s">
        <v>235</v>
      </c>
    </row>
    <row r="14" spans="2:67" ht="55.5" customHeight="1" x14ac:dyDescent="0.2">
      <c r="B14" s="60">
        <v>7</v>
      </c>
      <c r="C14" s="60">
        <f>'Portafolio P&amp;D'!B14</f>
        <v>0</v>
      </c>
      <c r="D14" s="61" t="str">
        <f>'Portafolio P&amp;D'!C14</f>
        <v>Proyecto 12</v>
      </c>
      <c r="E14" s="205">
        <f>'Portafolio P&amp;D'!D14</f>
        <v>0</v>
      </c>
      <c r="F14" s="69" t="str">
        <f>'Portafolio P&amp;D'!AD14</f>
        <v>03. Implementado</v>
      </c>
      <c r="G14" s="62">
        <f ca="1">'Portafolio P&amp;D'!Q14</f>
        <v>2023</v>
      </c>
      <c r="H14" s="62">
        <f ca="1">'Portafolio P&amp;D'!R14</f>
        <v>2025</v>
      </c>
      <c r="I14" s="62" t="str">
        <f>'Portafolio P&amp;D'!E14</f>
        <v>G1</v>
      </c>
      <c r="J14" s="62" t="str">
        <f>'Portafolio P&amp;D'!F14</f>
        <v>Lider 12</v>
      </c>
      <c r="K14" s="63">
        <f ca="1">'Portafolio P&amp;D'!I14</f>
        <v>27557</v>
      </c>
      <c r="L14" s="62" t="str">
        <f>'Portafolio P&amp;D'!O14</f>
        <v>Dimension 1</v>
      </c>
      <c r="M14" s="62">
        <f>'Portafolio P&amp;D'!P14</f>
        <v>0</v>
      </c>
      <c r="N14" s="60" t="s">
        <v>32</v>
      </c>
      <c r="O14" s="71">
        <v>0.64</v>
      </c>
      <c r="P14" s="71">
        <v>0.59</v>
      </c>
      <c r="Q14" s="71">
        <v>0.79</v>
      </c>
      <c r="R14" s="71">
        <v>0.79</v>
      </c>
      <c r="S14" s="71">
        <v>0.7</v>
      </c>
      <c r="T14" s="71">
        <v>0.55000000000000004</v>
      </c>
      <c r="U14" s="71">
        <v>1</v>
      </c>
      <c r="V14" s="71">
        <v>0.56000000000000005</v>
      </c>
      <c r="W14" s="71">
        <v>1</v>
      </c>
      <c r="X14" s="71">
        <v>0.62</v>
      </c>
      <c r="Y14" s="71">
        <v>0.65</v>
      </c>
      <c r="Z14" s="71">
        <v>0.65</v>
      </c>
      <c r="AA14" s="71">
        <v>0.75</v>
      </c>
      <c r="AB14" s="71">
        <v>0.67</v>
      </c>
      <c r="AC14" s="71">
        <v>1</v>
      </c>
      <c r="AD14" s="71">
        <v>1</v>
      </c>
      <c r="AE14" s="71">
        <v>1</v>
      </c>
      <c r="AF14" s="71">
        <v>1</v>
      </c>
      <c r="AG14" s="71">
        <v>1</v>
      </c>
      <c r="AH14" s="71">
        <v>1</v>
      </c>
      <c r="AI14" s="71">
        <v>1</v>
      </c>
      <c r="AJ14" s="71">
        <v>1</v>
      </c>
      <c r="AK14" s="71">
        <v>1</v>
      </c>
      <c r="AL14" s="71">
        <v>1</v>
      </c>
      <c r="AM14" s="71">
        <v>1</v>
      </c>
      <c r="AN14" s="71">
        <v>1</v>
      </c>
      <c r="AO14" s="71">
        <v>1</v>
      </c>
      <c r="AP14" s="71">
        <v>1</v>
      </c>
      <c r="AQ14" s="72">
        <v>1</v>
      </c>
      <c r="AR14" s="72">
        <v>1</v>
      </c>
      <c r="AS14" s="72">
        <v>1</v>
      </c>
      <c r="AT14" s="72">
        <v>1</v>
      </c>
      <c r="AU14" s="72">
        <v>1</v>
      </c>
      <c r="AV14" s="72">
        <v>1</v>
      </c>
      <c r="AW14" s="72">
        <v>1</v>
      </c>
      <c r="AX14" s="72">
        <v>1</v>
      </c>
      <c r="AY14" s="72">
        <v>1</v>
      </c>
      <c r="AZ14" s="72">
        <v>1</v>
      </c>
      <c r="BA14" s="72">
        <v>1</v>
      </c>
      <c r="BB14" s="72">
        <v>1</v>
      </c>
      <c r="BC14" s="72">
        <v>1</v>
      </c>
      <c r="BD14" s="72">
        <v>1</v>
      </c>
      <c r="BE14" s="72">
        <v>1</v>
      </c>
      <c r="BF14" s="72">
        <v>1</v>
      </c>
      <c r="BG14" s="72">
        <v>1</v>
      </c>
      <c r="BH14" s="72">
        <v>1</v>
      </c>
      <c r="BI14" s="72">
        <v>1</v>
      </c>
      <c r="BJ14" s="314">
        <v>1</v>
      </c>
      <c r="BK14" s="72">
        <v>1</v>
      </c>
      <c r="BL14" s="314">
        <v>1</v>
      </c>
      <c r="BM14" s="72">
        <v>1</v>
      </c>
      <c r="BN14" s="314">
        <v>1</v>
      </c>
      <c r="BO14" s="317" t="s">
        <v>236</v>
      </c>
    </row>
    <row r="15" spans="2:67" ht="66" customHeight="1" x14ac:dyDescent="0.2">
      <c r="B15" s="55">
        <v>8</v>
      </c>
      <c r="C15" s="55">
        <f>'Portafolio P&amp;D'!B17</f>
        <v>0</v>
      </c>
      <c r="D15" s="66" t="str">
        <f>'Portafolio P&amp;D'!C17</f>
        <v>Proyecto 15</v>
      </c>
      <c r="E15" s="206">
        <f>'Portafolio P&amp;D'!D17</f>
        <v>0</v>
      </c>
      <c r="F15" s="216" t="str">
        <f>'Portafolio P&amp;D'!AD17</f>
        <v>03. Implementado</v>
      </c>
      <c r="G15" s="56">
        <f ca="1">'Portafolio P&amp;D'!Q17</f>
        <v>2020</v>
      </c>
      <c r="H15" s="56">
        <f ca="1">'Portafolio P&amp;D'!R17</f>
        <v>2022</v>
      </c>
      <c r="I15" s="56" t="str">
        <f>'Portafolio P&amp;D'!E17</f>
        <v>G1</v>
      </c>
      <c r="J15" s="56" t="str">
        <f>'Portafolio P&amp;D'!F17</f>
        <v>Lider 15</v>
      </c>
      <c r="K15" s="57">
        <f ca="1">'Portafolio P&amp;D'!I17</f>
        <v>40631</v>
      </c>
      <c r="L15" s="56" t="str">
        <f>'Portafolio P&amp;D'!O17</f>
        <v>Dimension 1</v>
      </c>
      <c r="M15" s="56">
        <f>'Portafolio P&amp;D'!P17</f>
        <v>0</v>
      </c>
      <c r="N15" s="55" t="s">
        <v>32</v>
      </c>
      <c r="O15" s="67">
        <v>0.61</v>
      </c>
      <c r="P15" s="67">
        <v>0.49</v>
      </c>
      <c r="Q15" s="67">
        <v>0.73</v>
      </c>
      <c r="R15" s="67">
        <v>0.49</v>
      </c>
      <c r="S15" s="67">
        <v>0.7</v>
      </c>
      <c r="T15" s="67">
        <v>0.4</v>
      </c>
      <c r="U15" s="67">
        <v>0.96</v>
      </c>
      <c r="V15" s="67">
        <v>0.4</v>
      </c>
      <c r="W15" s="67">
        <v>0.38</v>
      </c>
      <c r="X15" s="67">
        <v>0.4</v>
      </c>
      <c r="Y15" s="67">
        <v>0.39</v>
      </c>
      <c r="Z15" s="67">
        <v>0.4</v>
      </c>
      <c r="AA15" s="67">
        <v>0.39</v>
      </c>
      <c r="AB15" s="67">
        <v>0.4</v>
      </c>
      <c r="AC15" s="67">
        <v>0.4</v>
      </c>
      <c r="AD15" s="67">
        <v>0.4</v>
      </c>
      <c r="AE15" s="67">
        <v>0.45</v>
      </c>
      <c r="AF15" s="67">
        <v>0.41</v>
      </c>
      <c r="AG15" s="67">
        <v>0.54</v>
      </c>
      <c r="AH15" s="67">
        <v>0.44</v>
      </c>
      <c r="AI15" s="67">
        <v>0.72</v>
      </c>
      <c r="AJ15" s="67">
        <v>0.48</v>
      </c>
      <c r="AK15" s="67">
        <v>0.79</v>
      </c>
      <c r="AL15" s="67">
        <v>0.54</v>
      </c>
      <c r="AM15" s="67">
        <v>0.56999999999999995</v>
      </c>
      <c r="AN15" s="67">
        <v>0.6</v>
      </c>
      <c r="AO15" s="67">
        <v>0.75</v>
      </c>
      <c r="AP15" s="67">
        <v>0.74</v>
      </c>
      <c r="AQ15" s="67">
        <v>0.81</v>
      </c>
      <c r="AR15" s="67">
        <v>0.75</v>
      </c>
      <c r="AS15" s="67">
        <v>0.88</v>
      </c>
      <c r="AT15" s="67">
        <v>0.82</v>
      </c>
      <c r="AU15" s="67">
        <v>0.96</v>
      </c>
      <c r="AV15" s="67">
        <v>0.87</v>
      </c>
      <c r="AW15" s="67">
        <v>1</v>
      </c>
      <c r="AX15" s="67">
        <v>0.88</v>
      </c>
      <c r="AY15" s="67">
        <v>1</v>
      </c>
      <c r="AZ15" s="67">
        <v>0.89</v>
      </c>
      <c r="BA15" s="67">
        <v>1</v>
      </c>
      <c r="BB15" s="67">
        <v>0.89</v>
      </c>
      <c r="BC15" s="67">
        <v>1</v>
      </c>
      <c r="BD15" s="67">
        <v>0.9</v>
      </c>
      <c r="BE15" s="67">
        <v>1</v>
      </c>
      <c r="BF15" s="67">
        <v>0.91</v>
      </c>
      <c r="BG15" s="67">
        <v>0.94</v>
      </c>
      <c r="BH15" s="67">
        <v>0.93</v>
      </c>
      <c r="BI15" s="67">
        <v>0.98</v>
      </c>
      <c r="BJ15" s="312">
        <v>0.95</v>
      </c>
      <c r="BK15" s="67">
        <v>1</v>
      </c>
      <c r="BL15" s="312">
        <v>0.98</v>
      </c>
      <c r="BM15" s="312">
        <v>1</v>
      </c>
      <c r="BN15" s="312">
        <v>1</v>
      </c>
      <c r="BO15" s="73" t="s">
        <v>237</v>
      </c>
    </row>
    <row r="16" spans="2:67" ht="78.75" customHeight="1" x14ac:dyDescent="0.2">
      <c r="B16" s="60">
        <v>9</v>
      </c>
      <c r="C16" s="62">
        <f>'Portafolio P&amp;D'!B10</f>
        <v>0</v>
      </c>
      <c r="D16" s="61" t="str">
        <f>'Portafolio P&amp;D'!C10</f>
        <v>Proyecto 8</v>
      </c>
      <c r="E16" s="205">
        <f>'Portafolio P&amp;D'!D10</f>
        <v>0</v>
      </c>
      <c r="F16" s="61" t="str">
        <f>'Portafolio P&amp;D'!AD10</f>
        <v>02. En Curso</v>
      </c>
      <c r="G16" s="62">
        <f ca="1">'Portafolio P&amp;D'!Q10</f>
        <v>2025</v>
      </c>
      <c r="H16" s="62">
        <f ca="1">'Portafolio P&amp;D'!R10</f>
        <v>2027</v>
      </c>
      <c r="I16" s="62" t="str">
        <f>'Portafolio P&amp;D'!E10</f>
        <v>G1</v>
      </c>
      <c r="J16" s="62" t="str">
        <f>'Portafolio P&amp;D'!F10</f>
        <v>Lider 8</v>
      </c>
      <c r="K16" s="63">
        <f ca="1">'Portafolio P&amp;D'!I10</f>
        <v>86061</v>
      </c>
      <c r="L16" s="62" t="str">
        <f>'Portafolio P&amp;D'!O10</f>
        <v>Dimension 1</v>
      </c>
      <c r="M16" s="62">
        <f>'Portafolio P&amp;D'!P10</f>
        <v>0</v>
      </c>
      <c r="N16" s="60" t="s">
        <v>32</v>
      </c>
      <c r="O16" s="64">
        <v>0.39</v>
      </c>
      <c r="P16" s="64">
        <v>0.35</v>
      </c>
      <c r="Q16" s="64">
        <v>0.45</v>
      </c>
      <c r="R16" s="64">
        <v>0.41</v>
      </c>
      <c r="S16" s="64">
        <v>0.32</v>
      </c>
      <c r="T16" s="64">
        <v>0.25</v>
      </c>
      <c r="U16" s="64">
        <v>0.48</v>
      </c>
      <c r="V16" s="64">
        <v>0.25</v>
      </c>
      <c r="W16" s="64">
        <v>0.63</v>
      </c>
      <c r="X16" s="64">
        <v>0.42</v>
      </c>
      <c r="Y16" s="64">
        <v>0.72</v>
      </c>
      <c r="Z16" s="64">
        <v>0.48</v>
      </c>
      <c r="AA16" s="64">
        <v>0.75</v>
      </c>
      <c r="AB16" s="64">
        <v>0.53</v>
      </c>
      <c r="AC16" s="64">
        <v>0.79</v>
      </c>
      <c r="AD16" s="64">
        <v>0.54</v>
      </c>
      <c r="AE16" s="64">
        <v>0.83</v>
      </c>
      <c r="AF16" s="64">
        <v>0.55000000000000004</v>
      </c>
      <c r="AG16" s="64">
        <v>0.87</v>
      </c>
      <c r="AH16" s="64">
        <v>0.56000000000000005</v>
      </c>
      <c r="AI16" s="64">
        <v>0.95</v>
      </c>
      <c r="AJ16" s="64">
        <v>0.57999999999999996</v>
      </c>
      <c r="AK16" s="64">
        <v>1</v>
      </c>
      <c r="AL16" s="64">
        <v>0.57999999999999996</v>
      </c>
      <c r="AM16" s="64">
        <v>1</v>
      </c>
      <c r="AN16" s="64">
        <v>0.6</v>
      </c>
      <c r="AO16" s="64">
        <v>0.34</v>
      </c>
      <c r="AP16" s="64">
        <v>0.36</v>
      </c>
      <c r="AQ16" s="64">
        <v>0.65</v>
      </c>
      <c r="AR16" s="64">
        <v>0.4</v>
      </c>
      <c r="AS16" s="64">
        <v>0.8</v>
      </c>
      <c r="AT16" s="64">
        <v>0.44</v>
      </c>
      <c r="AU16" s="64">
        <v>0.85</v>
      </c>
      <c r="AV16" s="64">
        <v>0.47</v>
      </c>
      <c r="AW16" s="64">
        <v>0.9</v>
      </c>
      <c r="AX16" s="64">
        <v>0.5</v>
      </c>
      <c r="AY16" s="64">
        <v>1</v>
      </c>
      <c r="AZ16" s="64">
        <v>0.55000000000000004</v>
      </c>
      <c r="BA16" s="64">
        <v>1</v>
      </c>
      <c r="BB16" s="64">
        <v>0.66</v>
      </c>
      <c r="BC16" s="64">
        <v>1</v>
      </c>
      <c r="BD16" s="64">
        <v>0.7</v>
      </c>
      <c r="BE16" s="64">
        <v>1</v>
      </c>
      <c r="BF16" s="64">
        <v>0.76</v>
      </c>
      <c r="BG16" s="64">
        <v>0.85</v>
      </c>
      <c r="BH16" s="64">
        <v>0.83</v>
      </c>
      <c r="BI16" s="64">
        <v>0.88</v>
      </c>
      <c r="BJ16" s="313">
        <v>0.88</v>
      </c>
      <c r="BK16" s="64">
        <v>1</v>
      </c>
      <c r="BL16" s="313">
        <v>0.99</v>
      </c>
      <c r="BM16" s="313">
        <v>0.96</v>
      </c>
      <c r="BN16" s="313">
        <v>0.96</v>
      </c>
      <c r="BO16" s="65" t="s">
        <v>238</v>
      </c>
    </row>
    <row r="17" spans="2:67" ht="66" customHeight="1" x14ac:dyDescent="0.2">
      <c r="B17" s="55">
        <v>10</v>
      </c>
      <c r="C17" s="55">
        <f>'Portafolio P&amp;D'!B12</f>
        <v>0</v>
      </c>
      <c r="D17" s="216" t="str">
        <f>'Portafolio P&amp;D'!C12</f>
        <v>Proyecto 10</v>
      </c>
      <c r="E17" s="206">
        <f>'Portafolio P&amp;D'!D12</f>
        <v>0</v>
      </c>
      <c r="F17" s="69" t="str">
        <f>'Portafolio P&amp;D'!AD12</f>
        <v>03. Implementado</v>
      </c>
      <c r="G17" s="56">
        <f ca="1">'Portafolio P&amp;D'!Q12</f>
        <v>2021</v>
      </c>
      <c r="H17" s="56">
        <f ca="1">'Portafolio P&amp;D'!R12</f>
        <v>2023</v>
      </c>
      <c r="I17" s="56" t="str">
        <f>'Portafolio P&amp;D'!E12</f>
        <v>G1</v>
      </c>
      <c r="J17" s="56" t="str">
        <f>'Portafolio P&amp;D'!F12</f>
        <v>Lider 10</v>
      </c>
      <c r="K17" s="57">
        <f ca="1">'Portafolio P&amp;D'!I12</f>
        <v>3975</v>
      </c>
      <c r="L17" s="56" t="str">
        <f>'Portafolio P&amp;D'!O12</f>
        <v>Dimension 1</v>
      </c>
      <c r="M17" s="56">
        <f>'Portafolio P&amp;D'!P12</f>
        <v>0</v>
      </c>
      <c r="N17" s="55" t="s">
        <v>32</v>
      </c>
      <c r="O17" s="67">
        <v>0.55000000000000004</v>
      </c>
      <c r="P17" s="67">
        <v>0.47</v>
      </c>
      <c r="Q17" s="67">
        <v>0.59</v>
      </c>
      <c r="R17" s="67">
        <v>0.47</v>
      </c>
      <c r="S17" s="67">
        <v>0.53</v>
      </c>
      <c r="T17" s="67">
        <v>0.38</v>
      </c>
      <c r="U17" s="67">
        <v>0.57999999999999996</v>
      </c>
      <c r="V17" s="67">
        <v>0.4</v>
      </c>
      <c r="W17" s="67">
        <v>0.64</v>
      </c>
      <c r="X17" s="67">
        <v>0.46</v>
      </c>
      <c r="Y17" s="67">
        <v>0.59</v>
      </c>
      <c r="Z17" s="67">
        <v>0.66</v>
      </c>
      <c r="AA17" s="67">
        <v>0.62</v>
      </c>
      <c r="AB17" s="67">
        <v>0.67</v>
      </c>
      <c r="AC17" s="67">
        <v>0.66</v>
      </c>
      <c r="AD17" s="67">
        <v>0.68</v>
      </c>
      <c r="AE17" s="67">
        <v>0.69</v>
      </c>
      <c r="AF17" s="67">
        <v>0.72</v>
      </c>
      <c r="AG17" s="67">
        <v>0.74</v>
      </c>
      <c r="AH17" s="67">
        <v>0.76</v>
      </c>
      <c r="AI17" s="67">
        <v>0.77</v>
      </c>
      <c r="AJ17" s="67">
        <v>0.78</v>
      </c>
      <c r="AK17" s="67">
        <v>0.8</v>
      </c>
      <c r="AL17" s="67">
        <v>0.79</v>
      </c>
      <c r="AM17" s="67">
        <v>0.82</v>
      </c>
      <c r="AN17" s="67">
        <v>0.79</v>
      </c>
      <c r="AO17" s="67">
        <v>0.85</v>
      </c>
      <c r="AP17" s="67">
        <v>0.81</v>
      </c>
      <c r="AQ17" s="67">
        <v>0.89</v>
      </c>
      <c r="AR17" s="67">
        <v>0.87</v>
      </c>
      <c r="AS17" s="67">
        <v>1</v>
      </c>
      <c r="AT17" s="67">
        <v>1</v>
      </c>
      <c r="AU17" s="67">
        <v>1</v>
      </c>
      <c r="AV17" s="67">
        <v>1</v>
      </c>
      <c r="AW17" s="67">
        <v>1</v>
      </c>
      <c r="AX17" s="67">
        <v>1</v>
      </c>
      <c r="AY17" s="67">
        <v>1</v>
      </c>
      <c r="AZ17" s="67">
        <v>1</v>
      </c>
      <c r="BA17" s="67">
        <v>1</v>
      </c>
      <c r="BB17" s="67">
        <v>1</v>
      </c>
      <c r="BC17" s="67">
        <v>1</v>
      </c>
      <c r="BD17" s="67">
        <v>1</v>
      </c>
      <c r="BE17" s="67">
        <v>1</v>
      </c>
      <c r="BF17" s="67">
        <v>1</v>
      </c>
      <c r="BG17" s="67">
        <v>1</v>
      </c>
      <c r="BH17" s="67">
        <v>1</v>
      </c>
      <c r="BI17" s="67">
        <v>1</v>
      </c>
      <c r="BJ17" s="312">
        <v>1</v>
      </c>
      <c r="BK17" s="67">
        <v>1</v>
      </c>
      <c r="BL17" s="312">
        <v>1</v>
      </c>
      <c r="BM17" s="67">
        <v>1</v>
      </c>
      <c r="BN17" s="312">
        <v>1</v>
      </c>
      <c r="BO17" s="317" t="s">
        <v>234</v>
      </c>
    </row>
    <row r="18" spans="2:67" ht="93" customHeight="1" x14ac:dyDescent="0.2">
      <c r="B18" s="60">
        <v>11</v>
      </c>
      <c r="C18" s="60">
        <f>'Portafolio P&amp;D'!B13</f>
        <v>0</v>
      </c>
      <c r="D18" s="61" t="str">
        <f>'Portafolio P&amp;D'!C13</f>
        <v>Proyecto 11</v>
      </c>
      <c r="E18" s="205">
        <f>'Portafolio P&amp;D'!D13</f>
        <v>0</v>
      </c>
      <c r="F18" s="69" t="str">
        <f>'Portafolio P&amp;D'!AD13</f>
        <v>03. Implementado</v>
      </c>
      <c r="G18" s="62">
        <f ca="1">'Portafolio P&amp;D'!Q13</f>
        <v>2021</v>
      </c>
      <c r="H18" s="62">
        <f ca="1">'Portafolio P&amp;D'!R13</f>
        <v>2023</v>
      </c>
      <c r="I18" s="62" t="str">
        <f>'Portafolio P&amp;D'!E13</f>
        <v>G1</v>
      </c>
      <c r="J18" s="62" t="str">
        <f>'Portafolio P&amp;D'!F13</f>
        <v>Lider 11</v>
      </c>
      <c r="K18" s="63">
        <f ca="1">'Portafolio P&amp;D'!I13</f>
        <v>52281</v>
      </c>
      <c r="L18" s="62" t="str">
        <f>'Portafolio P&amp;D'!O13</f>
        <v>Dimension 1</v>
      </c>
      <c r="M18" s="62">
        <f>'Portafolio P&amp;D'!P13</f>
        <v>0</v>
      </c>
      <c r="N18" s="60" t="s">
        <v>32</v>
      </c>
      <c r="O18" s="64">
        <v>0.66</v>
      </c>
      <c r="P18" s="64">
        <v>0.65</v>
      </c>
      <c r="Q18" s="64">
        <v>0.72</v>
      </c>
      <c r="R18" s="64">
        <v>0.66</v>
      </c>
      <c r="S18" s="64">
        <v>0.56999999999999995</v>
      </c>
      <c r="T18" s="64">
        <v>0.36</v>
      </c>
      <c r="U18" s="64">
        <v>0.68</v>
      </c>
      <c r="V18" s="64">
        <v>0.39</v>
      </c>
      <c r="W18" s="64">
        <v>0.8</v>
      </c>
      <c r="X18" s="64">
        <v>0.44</v>
      </c>
      <c r="Y18" s="64">
        <v>0.9</v>
      </c>
      <c r="Z18" s="64">
        <v>0.48</v>
      </c>
      <c r="AA18" s="64">
        <v>1</v>
      </c>
      <c r="AB18" s="64">
        <v>0.54</v>
      </c>
      <c r="AC18" s="64">
        <v>0.85</v>
      </c>
      <c r="AD18" s="64">
        <v>0.85</v>
      </c>
      <c r="AE18" s="64">
        <v>0.9</v>
      </c>
      <c r="AF18" s="64">
        <v>0.89</v>
      </c>
      <c r="AG18" s="64">
        <v>1</v>
      </c>
      <c r="AH18" s="64">
        <v>1</v>
      </c>
      <c r="AI18" s="64">
        <v>1</v>
      </c>
      <c r="AJ18" s="64">
        <v>1</v>
      </c>
      <c r="AK18" s="64">
        <v>1</v>
      </c>
      <c r="AL18" s="64">
        <v>1</v>
      </c>
      <c r="AM18" s="64">
        <v>1</v>
      </c>
      <c r="AN18" s="64">
        <v>1</v>
      </c>
      <c r="AO18" s="64">
        <v>1</v>
      </c>
      <c r="AP18" s="64">
        <v>1</v>
      </c>
      <c r="AQ18" s="64">
        <v>1</v>
      </c>
      <c r="AR18" s="64">
        <v>1</v>
      </c>
      <c r="AS18" s="64">
        <v>1</v>
      </c>
      <c r="AT18" s="64">
        <v>1</v>
      </c>
      <c r="AU18" s="64">
        <v>1</v>
      </c>
      <c r="AV18" s="64">
        <v>1</v>
      </c>
      <c r="AW18" s="64">
        <v>1</v>
      </c>
      <c r="AX18" s="64">
        <v>1</v>
      </c>
      <c r="AY18" s="64">
        <v>1</v>
      </c>
      <c r="AZ18" s="64">
        <v>1</v>
      </c>
      <c r="BA18" s="64">
        <v>1</v>
      </c>
      <c r="BB18" s="64">
        <v>1</v>
      </c>
      <c r="BC18" s="64">
        <v>1</v>
      </c>
      <c r="BD18" s="64">
        <v>1</v>
      </c>
      <c r="BE18" s="64">
        <v>1</v>
      </c>
      <c r="BF18" s="64">
        <v>1</v>
      </c>
      <c r="BG18" s="64">
        <v>1</v>
      </c>
      <c r="BH18" s="64">
        <v>1</v>
      </c>
      <c r="BI18" s="64">
        <v>1</v>
      </c>
      <c r="BJ18" s="313">
        <v>1</v>
      </c>
      <c r="BK18" s="64">
        <v>1</v>
      </c>
      <c r="BL18" s="313">
        <v>1</v>
      </c>
      <c r="BM18" s="64">
        <v>1</v>
      </c>
      <c r="BN18" s="313">
        <v>1</v>
      </c>
      <c r="BO18" s="317" t="s">
        <v>239</v>
      </c>
    </row>
    <row r="19" spans="2:67" ht="77.25" customHeight="1" x14ac:dyDescent="0.2">
      <c r="B19" s="55">
        <v>12</v>
      </c>
      <c r="C19" s="55">
        <f>'Portafolio P&amp;D'!B31</f>
        <v>0</v>
      </c>
      <c r="D19" s="216" t="str">
        <f>'Portafolio P&amp;D'!C31</f>
        <v>Proyecto 29</v>
      </c>
      <c r="E19" s="206">
        <f>'Portafolio P&amp;D'!D31</f>
        <v>0</v>
      </c>
      <c r="F19" s="69" t="str">
        <f>'Portafolio P&amp;D'!AD31</f>
        <v>03. Implementado</v>
      </c>
      <c r="G19" s="56">
        <f ca="1">'Portafolio P&amp;D'!Q31</f>
        <v>2026</v>
      </c>
      <c r="H19" s="56">
        <f ca="1">'Portafolio P&amp;D'!R31</f>
        <v>2028</v>
      </c>
      <c r="I19" s="56" t="str">
        <f>'Portafolio P&amp;D'!E31</f>
        <v>G2</v>
      </c>
      <c r="J19" s="56" t="str">
        <f>'Portafolio P&amp;D'!F31</f>
        <v>Lider 29</v>
      </c>
      <c r="K19" s="57">
        <f ca="1">'Portafolio P&amp;D'!I31</f>
        <v>65168</v>
      </c>
      <c r="L19" s="56" t="str">
        <f>'Portafolio P&amp;D'!O31</f>
        <v>Dimension 2</v>
      </c>
      <c r="M19" s="56">
        <f>'Portafolio P&amp;D'!P31</f>
        <v>0</v>
      </c>
      <c r="N19" s="67">
        <v>1</v>
      </c>
      <c r="O19" s="55" t="s">
        <v>32</v>
      </c>
      <c r="P19" s="55" t="s">
        <v>32</v>
      </c>
      <c r="Q19" s="55" t="s">
        <v>32</v>
      </c>
      <c r="R19" s="55" t="s">
        <v>32</v>
      </c>
      <c r="S19" s="55" t="s">
        <v>32</v>
      </c>
      <c r="T19" s="55" t="s">
        <v>32</v>
      </c>
      <c r="U19" s="55" t="s">
        <v>32</v>
      </c>
      <c r="V19" s="55" t="s">
        <v>32</v>
      </c>
      <c r="W19" s="55" t="s">
        <v>32</v>
      </c>
      <c r="X19" s="55" t="s">
        <v>32</v>
      </c>
      <c r="Y19" s="55" t="s">
        <v>32</v>
      </c>
      <c r="Z19" s="55" t="s">
        <v>32</v>
      </c>
      <c r="AA19" s="55" t="s">
        <v>32</v>
      </c>
      <c r="AB19" s="55" t="s">
        <v>32</v>
      </c>
      <c r="AC19" s="55" t="s">
        <v>32</v>
      </c>
      <c r="AD19" s="55" t="s">
        <v>32</v>
      </c>
      <c r="AE19" s="55" t="s">
        <v>32</v>
      </c>
      <c r="AF19" s="55" t="s">
        <v>32</v>
      </c>
      <c r="AG19" s="55" t="s">
        <v>32</v>
      </c>
      <c r="AH19" s="55" t="s">
        <v>32</v>
      </c>
      <c r="AI19" s="55" t="s">
        <v>32</v>
      </c>
      <c r="AJ19" s="55" t="s">
        <v>32</v>
      </c>
      <c r="AK19" s="55" t="s">
        <v>32</v>
      </c>
      <c r="AL19" s="55" t="s">
        <v>32</v>
      </c>
      <c r="AM19" s="55" t="s">
        <v>32</v>
      </c>
      <c r="AN19" s="55" t="s">
        <v>32</v>
      </c>
      <c r="AO19" s="74">
        <v>1</v>
      </c>
      <c r="AP19" s="74">
        <v>1</v>
      </c>
      <c r="AQ19" s="67">
        <v>1</v>
      </c>
      <c r="AR19" s="67">
        <v>1</v>
      </c>
      <c r="AS19" s="67">
        <v>1</v>
      </c>
      <c r="AT19" s="67">
        <v>1</v>
      </c>
      <c r="AU19" s="67">
        <v>1</v>
      </c>
      <c r="AV19" s="67">
        <v>1</v>
      </c>
      <c r="AW19" s="67">
        <v>1</v>
      </c>
      <c r="AX19" s="67">
        <v>1</v>
      </c>
      <c r="AY19" s="67">
        <v>1</v>
      </c>
      <c r="AZ19" s="67">
        <v>1</v>
      </c>
      <c r="BA19" s="67">
        <v>1</v>
      </c>
      <c r="BB19" s="67">
        <v>1</v>
      </c>
      <c r="BC19" s="67">
        <v>1</v>
      </c>
      <c r="BD19" s="67">
        <v>1</v>
      </c>
      <c r="BE19" s="67">
        <v>1</v>
      </c>
      <c r="BF19" s="67">
        <v>1</v>
      </c>
      <c r="BG19" s="67">
        <v>1</v>
      </c>
      <c r="BH19" s="67">
        <v>1</v>
      </c>
      <c r="BI19" s="67">
        <v>1</v>
      </c>
      <c r="BJ19" s="312">
        <v>1</v>
      </c>
      <c r="BK19" s="67">
        <v>1</v>
      </c>
      <c r="BL19" s="312">
        <v>1</v>
      </c>
      <c r="BM19" s="67">
        <v>1</v>
      </c>
      <c r="BN19" s="312">
        <v>1</v>
      </c>
      <c r="BO19" s="317" t="s">
        <v>240</v>
      </c>
    </row>
    <row r="20" spans="2:67" ht="93.75" customHeight="1" x14ac:dyDescent="0.2">
      <c r="B20" s="60">
        <v>13</v>
      </c>
      <c r="C20" s="62">
        <f>'Portafolio P&amp;D'!B11</f>
        <v>0</v>
      </c>
      <c r="D20" s="61" t="str">
        <f>'Portafolio P&amp;D'!C11</f>
        <v>Proyecto 9</v>
      </c>
      <c r="E20" s="205">
        <f>'Portafolio P&amp;D'!D11</f>
        <v>0</v>
      </c>
      <c r="F20" s="61" t="str">
        <f>'Portafolio P&amp;D'!AD11</f>
        <v>02. En Curso</v>
      </c>
      <c r="G20" s="62">
        <f ca="1">'Portafolio P&amp;D'!Q11</f>
        <v>2020</v>
      </c>
      <c r="H20" s="62">
        <f ca="1">'Portafolio P&amp;D'!R11</f>
        <v>2022</v>
      </c>
      <c r="I20" s="62" t="str">
        <f>'Portafolio P&amp;D'!E11</f>
        <v>G1</v>
      </c>
      <c r="J20" s="62" t="str">
        <f>'Portafolio P&amp;D'!F11</f>
        <v>Lider 9</v>
      </c>
      <c r="K20" s="63">
        <f ca="1">'Portafolio P&amp;D'!I11</f>
        <v>24869</v>
      </c>
      <c r="L20" s="62" t="str">
        <f>'Portafolio P&amp;D'!O11</f>
        <v>Dimension 1</v>
      </c>
      <c r="M20" s="62">
        <f>'Portafolio P&amp;D'!P11</f>
        <v>0</v>
      </c>
      <c r="N20" s="60" t="s">
        <v>32</v>
      </c>
      <c r="O20" s="64">
        <v>0.84</v>
      </c>
      <c r="P20" s="64">
        <v>0.75</v>
      </c>
      <c r="Q20" s="64">
        <v>0.86</v>
      </c>
      <c r="R20" s="64">
        <v>0.75</v>
      </c>
      <c r="S20" s="60" t="s">
        <v>32</v>
      </c>
      <c r="T20" s="60" t="s">
        <v>32</v>
      </c>
      <c r="U20" s="60" t="s">
        <v>32</v>
      </c>
      <c r="V20" s="60" t="s">
        <v>32</v>
      </c>
      <c r="W20" s="60" t="s">
        <v>32</v>
      </c>
      <c r="X20" s="60" t="s">
        <v>32</v>
      </c>
      <c r="Y20" s="64">
        <v>0.79</v>
      </c>
      <c r="Z20" s="64">
        <v>0.71</v>
      </c>
      <c r="AA20" s="64">
        <v>0.81</v>
      </c>
      <c r="AB20" s="64">
        <v>0.78</v>
      </c>
      <c r="AC20" s="64">
        <v>0.82</v>
      </c>
      <c r="AD20" s="64">
        <v>0.78</v>
      </c>
      <c r="AE20" s="64">
        <v>0.87</v>
      </c>
      <c r="AF20" s="64">
        <v>0.78</v>
      </c>
      <c r="AG20" s="64">
        <v>0.9</v>
      </c>
      <c r="AH20" s="64">
        <v>0.78</v>
      </c>
      <c r="AI20" s="64">
        <v>0.92</v>
      </c>
      <c r="AJ20" s="64">
        <v>0.78</v>
      </c>
      <c r="AK20" s="64">
        <v>0.94</v>
      </c>
      <c r="AL20" s="64">
        <v>0.8</v>
      </c>
      <c r="AM20" s="64">
        <v>0.97</v>
      </c>
      <c r="AN20" s="64">
        <v>0.8</v>
      </c>
      <c r="AO20" s="64">
        <v>0.98</v>
      </c>
      <c r="AP20" s="64">
        <v>0.83</v>
      </c>
      <c r="AQ20" s="64">
        <v>0.99</v>
      </c>
      <c r="AR20" s="64">
        <v>0.83</v>
      </c>
      <c r="AS20" s="64">
        <v>0.99</v>
      </c>
      <c r="AT20" s="64">
        <v>0.83</v>
      </c>
      <c r="AU20" s="64">
        <v>0.99</v>
      </c>
      <c r="AV20" s="64">
        <v>0.8</v>
      </c>
      <c r="AW20" s="60" t="s">
        <v>32</v>
      </c>
      <c r="AX20" s="60" t="s">
        <v>32</v>
      </c>
      <c r="AY20" s="60" t="s">
        <v>32</v>
      </c>
      <c r="AZ20" s="60" t="s">
        <v>32</v>
      </c>
      <c r="BA20" s="60" t="s">
        <v>32</v>
      </c>
      <c r="BB20" s="60" t="s">
        <v>32</v>
      </c>
      <c r="BC20" s="60" t="s">
        <v>32</v>
      </c>
      <c r="BD20" s="60" t="s">
        <v>32</v>
      </c>
      <c r="BE20" s="64">
        <v>1</v>
      </c>
      <c r="BF20" s="64">
        <v>0.27</v>
      </c>
      <c r="BG20" s="64">
        <v>0.47</v>
      </c>
      <c r="BH20" s="64">
        <v>0.27</v>
      </c>
      <c r="BI20" s="64">
        <v>0.49</v>
      </c>
      <c r="BJ20" s="313">
        <v>0.47</v>
      </c>
      <c r="BK20" s="64" t="s">
        <v>32</v>
      </c>
      <c r="BL20" s="313" t="s">
        <v>32</v>
      </c>
      <c r="BM20" s="313" t="s">
        <v>32</v>
      </c>
      <c r="BN20" s="313" t="s">
        <v>32</v>
      </c>
      <c r="BO20" s="65" t="s">
        <v>241</v>
      </c>
    </row>
    <row r="21" spans="2:67" ht="27" customHeight="1" x14ac:dyDescent="0.2">
      <c r="B21" s="55"/>
      <c r="C21" s="56">
        <f>'Portafolio P&amp;D'!B15</f>
        <v>0</v>
      </c>
      <c r="D21" s="216" t="str">
        <f>'Portafolio P&amp;D'!C15</f>
        <v>Proyecto 13</v>
      </c>
      <c r="E21" s="207">
        <f>'Portafolio P&amp;D'!D15</f>
        <v>0</v>
      </c>
      <c r="F21" s="208" t="str">
        <f>'Portafolio P&amp;D'!AD15</f>
        <v>04. Cerrado</v>
      </c>
      <c r="G21" s="56">
        <f ca="1">'Portafolio P&amp;D'!Q15</f>
        <v>2026</v>
      </c>
      <c r="H21" s="56">
        <f ca="1">'Portafolio P&amp;D'!R15</f>
        <v>2028</v>
      </c>
      <c r="I21" s="56" t="str">
        <f>'Portafolio P&amp;D'!E15</f>
        <v>G1</v>
      </c>
      <c r="J21" s="56" t="str">
        <f>'Portafolio P&amp;D'!F15</f>
        <v>Lider 13</v>
      </c>
      <c r="K21" s="57">
        <f ca="1">'Portafolio P&amp;D'!I15</f>
        <v>5578</v>
      </c>
      <c r="L21" s="56" t="str">
        <f>'Portafolio P&amp;D'!O15</f>
        <v>Dimension 1</v>
      </c>
      <c r="M21" s="56">
        <f>'Portafolio P&amp;D'!P15</f>
        <v>0</v>
      </c>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8"/>
      <c r="BK21" s="55"/>
      <c r="BL21" s="58"/>
      <c r="BM21" s="58"/>
      <c r="BN21" s="58"/>
      <c r="BO21" s="59"/>
    </row>
    <row r="22" spans="2:67" ht="27.75" customHeight="1" x14ac:dyDescent="0.2">
      <c r="B22" s="60"/>
      <c r="C22" s="62">
        <f>'Portafolio P&amp;D'!B21</f>
        <v>0</v>
      </c>
      <c r="D22" s="61" t="str">
        <f>'Portafolio P&amp;D'!C21</f>
        <v>Proyecto 19</v>
      </c>
      <c r="E22" s="205">
        <f>'Portafolio P&amp;D'!D21</f>
        <v>0</v>
      </c>
      <c r="F22" s="209" t="str">
        <f>'Portafolio P&amp;D'!AD21</f>
        <v>03. Implementado</v>
      </c>
      <c r="G22" s="62">
        <f ca="1">'Portafolio P&amp;D'!Q21</f>
        <v>2026</v>
      </c>
      <c r="H22" s="62">
        <f ca="1">'Portafolio P&amp;D'!R21</f>
        <v>2028</v>
      </c>
      <c r="I22" s="62" t="str">
        <f>'Portafolio P&amp;D'!E21</f>
        <v>G1</v>
      </c>
      <c r="J22" s="62" t="str">
        <f>'Portafolio P&amp;D'!F21</f>
        <v>Lider 19</v>
      </c>
      <c r="K22" s="63">
        <f ca="1">'Portafolio P&amp;D'!I21</f>
        <v>92119</v>
      </c>
      <c r="L22" s="62" t="str">
        <f>'Portafolio P&amp;D'!O21</f>
        <v>Dimension 1</v>
      </c>
      <c r="M22" s="62">
        <f>'Portafolio P&amp;D'!P21</f>
        <v>0</v>
      </c>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8"/>
      <c r="BK22" s="60"/>
      <c r="BL22" s="68"/>
      <c r="BM22" s="68"/>
      <c r="BN22" s="68"/>
      <c r="BO22" s="210"/>
    </row>
    <row r="23" spans="2:67" ht="58.5" customHeight="1" x14ac:dyDescent="0.2">
      <c r="B23" s="55">
        <v>14</v>
      </c>
      <c r="C23" s="56">
        <f>'Portafolio P&amp;D'!B28</f>
        <v>0</v>
      </c>
      <c r="D23" s="216" t="str">
        <f>'Portafolio P&amp;D'!C28</f>
        <v>Proyecto 26</v>
      </c>
      <c r="E23" s="207">
        <f>'Portafolio P&amp;D'!D28</f>
        <v>0</v>
      </c>
      <c r="F23" s="209" t="str">
        <f>'Portafolio P&amp;D'!AD28</f>
        <v>03. Implementado</v>
      </c>
      <c r="G23" s="56">
        <f ca="1">'Portafolio P&amp;D'!Q28</f>
        <v>2024</v>
      </c>
      <c r="H23" s="56">
        <f ca="1">'Portafolio P&amp;D'!R28</f>
        <v>2026</v>
      </c>
      <c r="I23" s="56" t="str">
        <f>'Portafolio P&amp;D'!E28</f>
        <v>G2</v>
      </c>
      <c r="J23" s="56" t="str">
        <f>'Portafolio P&amp;D'!F28</f>
        <v>Lider 26</v>
      </c>
      <c r="K23" s="57">
        <f ca="1">'Portafolio P&amp;D'!I28</f>
        <v>89332</v>
      </c>
      <c r="L23" s="56" t="str">
        <f>'Portafolio P&amp;D'!O28</f>
        <v>Dimension 1</v>
      </c>
      <c r="M23" s="56">
        <f>'Portafolio P&amp;D'!P28</f>
        <v>0</v>
      </c>
      <c r="N23" s="55" t="s">
        <v>32</v>
      </c>
      <c r="O23" s="67">
        <v>0.21</v>
      </c>
      <c r="P23" s="67">
        <v>0.24</v>
      </c>
      <c r="Q23" s="67">
        <v>0.43</v>
      </c>
      <c r="R23" s="67">
        <v>0.27</v>
      </c>
      <c r="S23" s="67">
        <v>0.7</v>
      </c>
      <c r="T23" s="67">
        <v>0.44</v>
      </c>
      <c r="U23" s="67">
        <v>0.73</v>
      </c>
      <c r="V23" s="67">
        <v>0.45</v>
      </c>
      <c r="W23" s="67">
        <v>0.67</v>
      </c>
      <c r="X23" s="67">
        <v>0.47</v>
      </c>
      <c r="Y23" s="67">
        <v>0.72</v>
      </c>
      <c r="Z23" s="67">
        <v>0.47</v>
      </c>
      <c r="AA23" s="67">
        <v>0.75</v>
      </c>
      <c r="AB23" s="67">
        <v>0.54</v>
      </c>
      <c r="AC23" s="67">
        <v>0.77</v>
      </c>
      <c r="AD23" s="67">
        <v>0.56000000000000005</v>
      </c>
      <c r="AE23" s="67">
        <v>0.81</v>
      </c>
      <c r="AF23" s="67">
        <v>0.59</v>
      </c>
      <c r="AG23" s="67">
        <v>1</v>
      </c>
      <c r="AH23" s="67">
        <v>1</v>
      </c>
      <c r="AI23" s="67">
        <v>1</v>
      </c>
      <c r="AJ23" s="67">
        <v>1</v>
      </c>
      <c r="AK23" s="67">
        <v>1</v>
      </c>
      <c r="AL23" s="67">
        <v>1</v>
      </c>
      <c r="AM23" s="67">
        <v>1</v>
      </c>
      <c r="AN23" s="67">
        <v>1</v>
      </c>
      <c r="AO23" s="67">
        <v>1</v>
      </c>
      <c r="AP23" s="67">
        <v>1</v>
      </c>
      <c r="AQ23" s="67">
        <v>1</v>
      </c>
      <c r="AR23" s="67">
        <v>1</v>
      </c>
      <c r="AS23" s="67">
        <v>1</v>
      </c>
      <c r="AT23" s="67">
        <v>1</v>
      </c>
      <c r="AU23" s="67">
        <v>1</v>
      </c>
      <c r="AV23" s="67">
        <v>1</v>
      </c>
      <c r="AW23" s="67">
        <v>1</v>
      </c>
      <c r="AX23" s="67">
        <v>1</v>
      </c>
      <c r="AY23" s="67">
        <v>1</v>
      </c>
      <c r="AZ23" s="67">
        <v>1</v>
      </c>
      <c r="BA23" s="67">
        <v>1</v>
      </c>
      <c r="BB23" s="67">
        <v>1</v>
      </c>
      <c r="BC23" s="67">
        <v>1</v>
      </c>
      <c r="BD23" s="67">
        <v>1</v>
      </c>
      <c r="BE23" s="67">
        <v>1</v>
      </c>
      <c r="BF23" s="67">
        <v>1</v>
      </c>
      <c r="BG23" s="67">
        <v>1</v>
      </c>
      <c r="BH23" s="67">
        <v>1</v>
      </c>
      <c r="BI23" s="67">
        <v>1</v>
      </c>
      <c r="BJ23" s="312">
        <v>1</v>
      </c>
      <c r="BK23" s="67">
        <v>1</v>
      </c>
      <c r="BL23" s="312">
        <v>1</v>
      </c>
      <c r="BM23" s="67">
        <v>1</v>
      </c>
      <c r="BN23" s="312">
        <v>1</v>
      </c>
      <c r="BO23" s="70"/>
    </row>
    <row r="24" spans="2:67" ht="66" customHeight="1" x14ac:dyDescent="0.2">
      <c r="B24" s="60">
        <v>15</v>
      </c>
      <c r="C24" s="62">
        <f>'Portafolio P&amp;D'!B22</f>
        <v>0</v>
      </c>
      <c r="D24" s="61" t="str">
        <f>'Portafolio P&amp;D'!C22</f>
        <v>Proyecto 20</v>
      </c>
      <c r="E24" s="205">
        <f>'Portafolio P&amp;D'!D22</f>
        <v>0</v>
      </c>
      <c r="F24" s="209" t="str">
        <f>'Portafolio P&amp;D'!AD22</f>
        <v>03. Implementado</v>
      </c>
      <c r="G24" s="62">
        <f ca="1">'Portafolio P&amp;D'!Q22</f>
        <v>2024</v>
      </c>
      <c r="H24" s="62">
        <f ca="1">'Portafolio P&amp;D'!R22</f>
        <v>2026</v>
      </c>
      <c r="I24" s="62" t="str">
        <f>'Portafolio P&amp;D'!E22</f>
        <v>G1</v>
      </c>
      <c r="J24" s="62" t="str">
        <f>'Portafolio P&amp;D'!F22</f>
        <v>Lider 20</v>
      </c>
      <c r="K24" s="63">
        <f ca="1">'Portafolio P&amp;D'!I22</f>
        <v>4481</v>
      </c>
      <c r="L24" s="62" t="str">
        <f>'Portafolio P&amp;D'!O22</f>
        <v>Dimension 1</v>
      </c>
      <c r="M24" s="62">
        <f>'Portafolio P&amp;D'!P22</f>
        <v>0</v>
      </c>
      <c r="N24" s="60" t="s">
        <v>32</v>
      </c>
      <c r="O24" s="64">
        <v>0.56000000000000005</v>
      </c>
      <c r="P24" s="64">
        <v>0.5</v>
      </c>
      <c r="Q24" s="64">
        <v>0.64</v>
      </c>
      <c r="R24" s="64">
        <v>0.42</v>
      </c>
      <c r="S24" s="64">
        <v>0.22</v>
      </c>
      <c r="T24" s="64">
        <v>0.16</v>
      </c>
      <c r="U24" s="64">
        <v>0.54</v>
      </c>
      <c r="V24" s="64">
        <v>1</v>
      </c>
      <c r="W24" s="64">
        <v>0.76</v>
      </c>
      <c r="X24" s="64">
        <v>1</v>
      </c>
      <c r="Y24" s="64">
        <v>1</v>
      </c>
      <c r="Z24" s="64">
        <v>1</v>
      </c>
      <c r="AA24" s="64">
        <v>1</v>
      </c>
      <c r="AB24" s="64">
        <v>1</v>
      </c>
      <c r="AC24" s="64">
        <v>1</v>
      </c>
      <c r="AD24" s="64">
        <v>1</v>
      </c>
      <c r="AE24" s="64">
        <v>1</v>
      </c>
      <c r="AF24" s="64">
        <v>1</v>
      </c>
      <c r="AG24" s="64">
        <v>1</v>
      </c>
      <c r="AH24" s="64">
        <v>1</v>
      </c>
      <c r="AI24" s="64">
        <v>1</v>
      </c>
      <c r="AJ24" s="64">
        <v>1</v>
      </c>
      <c r="AK24" s="64">
        <v>1</v>
      </c>
      <c r="AL24" s="64">
        <v>1</v>
      </c>
      <c r="AM24" s="64">
        <v>1</v>
      </c>
      <c r="AN24" s="64">
        <v>1</v>
      </c>
      <c r="AO24" s="64">
        <v>1</v>
      </c>
      <c r="AP24" s="64">
        <v>1</v>
      </c>
      <c r="AQ24" s="64">
        <v>1</v>
      </c>
      <c r="AR24" s="64">
        <v>1</v>
      </c>
      <c r="AS24" s="64">
        <v>1</v>
      </c>
      <c r="AT24" s="64">
        <v>1</v>
      </c>
      <c r="AU24" s="64">
        <v>1</v>
      </c>
      <c r="AV24" s="64">
        <v>1</v>
      </c>
      <c r="AW24" s="64">
        <v>1</v>
      </c>
      <c r="AX24" s="64">
        <v>1</v>
      </c>
      <c r="AY24" s="64">
        <v>1</v>
      </c>
      <c r="AZ24" s="64">
        <v>1</v>
      </c>
      <c r="BA24" s="64">
        <v>1</v>
      </c>
      <c r="BB24" s="64">
        <v>1</v>
      </c>
      <c r="BC24" s="64">
        <v>1</v>
      </c>
      <c r="BD24" s="64">
        <v>1</v>
      </c>
      <c r="BE24" s="64">
        <v>1</v>
      </c>
      <c r="BF24" s="64">
        <v>1</v>
      </c>
      <c r="BG24" s="64">
        <v>1</v>
      </c>
      <c r="BH24" s="64">
        <v>1</v>
      </c>
      <c r="BI24" s="64">
        <v>1</v>
      </c>
      <c r="BJ24" s="313">
        <v>1</v>
      </c>
      <c r="BK24" s="64">
        <v>1</v>
      </c>
      <c r="BL24" s="313">
        <v>1</v>
      </c>
      <c r="BM24" s="64">
        <v>1</v>
      </c>
      <c r="BN24" s="313">
        <v>1</v>
      </c>
      <c r="BO24" s="317" t="s">
        <v>242</v>
      </c>
    </row>
    <row r="25" spans="2:67" ht="66" customHeight="1" x14ac:dyDescent="0.2">
      <c r="B25" s="55">
        <v>16</v>
      </c>
      <c r="C25" s="56">
        <f>'Portafolio P&amp;D'!B23</f>
        <v>0</v>
      </c>
      <c r="D25" s="216" t="str">
        <f>'Portafolio P&amp;D'!C23</f>
        <v>Proyecto 21</v>
      </c>
      <c r="E25" s="207">
        <f>'Portafolio P&amp;D'!D23</f>
        <v>0</v>
      </c>
      <c r="F25" s="209" t="str">
        <f>'Portafolio P&amp;D'!AD23</f>
        <v>03. Implementado</v>
      </c>
      <c r="G25" s="56">
        <f ca="1">'Portafolio P&amp;D'!Q23</f>
        <v>2020</v>
      </c>
      <c r="H25" s="56">
        <f ca="1">'Portafolio P&amp;D'!R23</f>
        <v>2022</v>
      </c>
      <c r="I25" s="56" t="str">
        <f>'Portafolio P&amp;D'!E23</f>
        <v>G1</v>
      </c>
      <c r="J25" s="56" t="str">
        <f>'Portafolio P&amp;D'!F23</f>
        <v>Lider 21</v>
      </c>
      <c r="K25" s="57">
        <f ca="1">'Portafolio P&amp;D'!I23</f>
        <v>19054</v>
      </c>
      <c r="L25" s="56" t="str">
        <f>'Portafolio P&amp;D'!O23</f>
        <v>Dimension 1</v>
      </c>
      <c r="M25" s="56">
        <f>'Portafolio P&amp;D'!P23</f>
        <v>0</v>
      </c>
      <c r="N25" s="55" t="s">
        <v>32</v>
      </c>
      <c r="O25" s="67">
        <v>0.78</v>
      </c>
      <c r="P25" s="67">
        <v>0.73</v>
      </c>
      <c r="Q25" s="67">
        <v>0.85</v>
      </c>
      <c r="R25" s="67">
        <v>0.74</v>
      </c>
      <c r="S25" s="67">
        <v>0.77</v>
      </c>
      <c r="T25" s="67">
        <v>0.48</v>
      </c>
      <c r="U25" s="67">
        <v>0.94</v>
      </c>
      <c r="V25" s="67">
        <v>0.83</v>
      </c>
      <c r="W25" s="67">
        <v>1</v>
      </c>
      <c r="X25" s="67">
        <v>0.86</v>
      </c>
      <c r="Y25" s="67">
        <v>1</v>
      </c>
      <c r="Z25" s="67">
        <v>1</v>
      </c>
      <c r="AA25" s="67">
        <v>1</v>
      </c>
      <c r="AB25" s="67">
        <v>1</v>
      </c>
      <c r="AC25" s="67">
        <v>1</v>
      </c>
      <c r="AD25" s="67">
        <v>1</v>
      </c>
      <c r="AE25" s="67">
        <v>1</v>
      </c>
      <c r="AF25" s="67">
        <v>1</v>
      </c>
      <c r="AG25" s="67">
        <v>1</v>
      </c>
      <c r="AH25" s="67">
        <v>1</v>
      </c>
      <c r="AI25" s="67">
        <v>1</v>
      </c>
      <c r="AJ25" s="67">
        <v>1</v>
      </c>
      <c r="AK25" s="67">
        <v>1</v>
      </c>
      <c r="AL25" s="67">
        <v>1</v>
      </c>
      <c r="AM25" s="67">
        <v>1</v>
      </c>
      <c r="AN25" s="67">
        <v>1</v>
      </c>
      <c r="AO25" s="67">
        <v>1</v>
      </c>
      <c r="AP25" s="67">
        <v>1</v>
      </c>
      <c r="AQ25" s="67">
        <v>1</v>
      </c>
      <c r="AR25" s="67">
        <v>1</v>
      </c>
      <c r="AS25" s="67">
        <v>1</v>
      </c>
      <c r="AT25" s="67">
        <v>1</v>
      </c>
      <c r="AU25" s="67">
        <v>1</v>
      </c>
      <c r="AV25" s="67">
        <v>1</v>
      </c>
      <c r="AW25" s="67">
        <v>1</v>
      </c>
      <c r="AX25" s="67">
        <v>1</v>
      </c>
      <c r="AY25" s="67">
        <v>1</v>
      </c>
      <c r="AZ25" s="67">
        <v>1</v>
      </c>
      <c r="BA25" s="67">
        <v>1</v>
      </c>
      <c r="BB25" s="67">
        <v>1</v>
      </c>
      <c r="BC25" s="67">
        <v>1</v>
      </c>
      <c r="BD25" s="67">
        <v>1</v>
      </c>
      <c r="BE25" s="67">
        <v>1</v>
      </c>
      <c r="BF25" s="67">
        <v>1</v>
      </c>
      <c r="BG25" s="67">
        <v>1</v>
      </c>
      <c r="BH25" s="67">
        <v>1</v>
      </c>
      <c r="BI25" s="67">
        <v>1</v>
      </c>
      <c r="BJ25" s="312">
        <v>1</v>
      </c>
      <c r="BK25" s="67">
        <v>1</v>
      </c>
      <c r="BL25" s="312">
        <v>1</v>
      </c>
      <c r="BM25" s="67">
        <v>1</v>
      </c>
      <c r="BN25" s="312">
        <v>1</v>
      </c>
      <c r="BO25" s="317" t="s">
        <v>243</v>
      </c>
    </row>
    <row r="26" spans="2:67" ht="63.75" customHeight="1" x14ac:dyDescent="0.2">
      <c r="B26" s="60">
        <v>17</v>
      </c>
      <c r="C26" s="62">
        <f>'Portafolio P&amp;D'!B24</f>
        <v>0</v>
      </c>
      <c r="D26" s="61" t="str">
        <f>'Portafolio P&amp;D'!C24</f>
        <v>Proyecto 22</v>
      </c>
      <c r="E26" s="205">
        <f>'Portafolio P&amp;D'!D24</f>
        <v>0</v>
      </c>
      <c r="F26" s="209" t="str">
        <f>'Portafolio P&amp;D'!AD24</f>
        <v>03. Implementado</v>
      </c>
      <c r="G26" s="62">
        <f ca="1">'Portafolio P&amp;D'!Q24</f>
        <v>2022</v>
      </c>
      <c r="H26" s="62">
        <f ca="1">'Portafolio P&amp;D'!R24</f>
        <v>2024</v>
      </c>
      <c r="I26" s="62" t="str">
        <f>'Portafolio P&amp;D'!E24</f>
        <v>G2</v>
      </c>
      <c r="J26" s="62" t="str">
        <f>'Portafolio P&amp;D'!F24</f>
        <v>Lider 22</v>
      </c>
      <c r="K26" s="63">
        <f ca="1">'Portafolio P&amp;D'!I24</f>
        <v>80867</v>
      </c>
      <c r="L26" s="62" t="str">
        <f>'Portafolio P&amp;D'!O24</f>
        <v>Dimension 1</v>
      </c>
      <c r="M26" s="62">
        <f>'Portafolio P&amp;D'!P24</f>
        <v>0</v>
      </c>
      <c r="N26" s="60" t="s">
        <v>32</v>
      </c>
      <c r="O26" s="64">
        <v>0.55000000000000004</v>
      </c>
      <c r="P26" s="64">
        <v>0.22</v>
      </c>
      <c r="Q26" s="64">
        <v>0.69</v>
      </c>
      <c r="R26" s="64">
        <v>0.28000000000000003</v>
      </c>
      <c r="S26" s="64">
        <v>0.45</v>
      </c>
      <c r="T26" s="64">
        <v>0.44</v>
      </c>
      <c r="U26" s="64">
        <v>0.49</v>
      </c>
      <c r="V26" s="64">
        <v>0.45</v>
      </c>
      <c r="W26" s="64">
        <v>0.52</v>
      </c>
      <c r="X26" s="64">
        <v>0.46</v>
      </c>
      <c r="Y26" s="64">
        <v>0.56000000000000005</v>
      </c>
      <c r="Z26" s="64">
        <v>0.48</v>
      </c>
      <c r="AA26" s="64">
        <v>0.63</v>
      </c>
      <c r="AB26" s="64">
        <v>0.5</v>
      </c>
      <c r="AC26" s="64">
        <v>0.69</v>
      </c>
      <c r="AD26" s="64">
        <v>0.51</v>
      </c>
      <c r="AE26" s="64">
        <v>0.76</v>
      </c>
      <c r="AF26" s="64">
        <v>0.68</v>
      </c>
      <c r="AG26" s="64">
        <v>0.85</v>
      </c>
      <c r="AH26" s="64">
        <v>0.61</v>
      </c>
      <c r="AI26" s="64">
        <v>0.88</v>
      </c>
      <c r="AJ26" s="64">
        <v>0.75</v>
      </c>
      <c r="AK26" s="64">
        <v>1</v>
      </c>
      <c r="AL26" s="64">
        <v>1</v>
      </c>
      <c r="AM26" s="64">
        <v>1</v>
      </c>
      <c r="AN26" s="64">
        <v>1</v>
      </c>
      <c r="AO26" s="64">
        <v>1</v>
      </c>
      <c r="AP26" s="64">
        <v>1</v>
      </c>
      <c r="AQ26" s="64">
        <v>1</v>
      </c>
      <c r="AR26" s="64">
        <v>1</v>
      </c>
      <c r="AS26" s="64">
        <v>1</v>
      </c>
      <c r="AT26" s="64">
        <v>1</v>
      </c>
      <c r="AU26" s="64">
        <v>1</v>
      </c>
      <c r="AV26" s="64">
        <v>1</v>
      </c>
      <c r="AW26" s="64">
        <v>1</v>
      </c>
      <c r="AX26" s="64">
        <v>1</v>
      </c>
      <c r="AY26" s="64">
        <v>1</v>
      </c>
      <c r="AZ26" s="64">
        <v>1</v>
      </c>
      <c r="BA26" s="64">
        <v>1</v>
      </c>
      <c r="BB26" s="64">
        <v>1</v>
      </c>
      <c r="BC26" s="64">
        <v>1</v>
      </c>
      <c r="BD26" s="64">
        <v>1</v>
      </c>
      <c r="BE26" s="64">
        <v>1</v>
      </c>
      <c r="BF26" s="64">
        <v>1</v>
      </c>
      <c r="BG26" s="64">
        <v>1</v>
      </c>
      <c r="BH26" s="64">
        <v>1</v>
      </c>
      <c r="BI26" s="64">
        <v>1</v>
      </c>
      <c r="BJ26" s="313">
        <v>1</v>
      </c>
      <c r="BK26" s="64">
        <v>1</v>
      </c>
      <c r="BL26" s="313">
        <v>1</v>
      </c>
      <c r="BM26" s="64">
        <v>1</v>
      </c>
      <c r="BN26" s="313">
        <v>1</v>
      </c>
      <c r="BO26" s="317" t="s">
        <v>244</v>
      </c>
    </row>
    <row r="27" spans="2:67" ht="45.75" customHeight="1" x14ac:dyDescent="0.2">
      <c r="B27" s="55">
        <v>18</v>
      </c>
      <c r="C27" s="56">
        <f>'Portafolio P&amp;D'!B25</f>
        <v>0</v>
      </c>
      <c r="D27" s="216" t="str">
        <f>'Portafolio P&amp;D'!C25</f>
        <v>Proyecto 23</v>
      </c>
      <c r="E27" s="207">
        <f>'Portafolio P&amp;D'!D25</f>
        <v>0</v>
      </c>
      <c r="F27" s="209" t="str">
        <f>'Portafolio P&amp;D'!AD25</f>
        <v>03. Implementado</v>
      </c>
      <c r="G27" s="56">
        <f ca="1">'Portafolio P&amp;D'!Q25</f>
        <v>2024</v>
      </c>
      <c r="H27" s="56">
        <f ca="1">'Portafolio P&amp;D'!R25</f>
        <v>2026</v>
      </c>
      <c r="I27" s="56" t="str">
        <f>'Portafolio P&amp;D'!E25</f>
        <v>G2</v>
      </c>
      <c r="J27" s="56" t="str">
        <f>'Portafolio P&amp;D'!F25</f>
        <v>Lider 23</v>
      </c>
      <c r="K27" s="57">
        <f ca="1">'Portafolio P&amp;D'!I25</f>
        <v>46019</v>
      </c>
      <c r="L27" s="56" t="str">
        <f>'Portafolio P&amp;D'!O25</f>
        <v>Dimension 1</v>
      </c>
      <c r="M27" s="56">
        <f>'Portafolio P&amp;D'!P25</f>
        <v>0</v>
      </c>
      <c r="N27" s="55" t="s">
        <v>32</v>
      </c>
      <c r="O27" s="67">
        <v>0.04</v>
      </c>
      <c r="P27" s="67">
        <v>0.01</v>
      </c>
      <c r="Q27" s="67">
        <v>7.0000000000000007E-2</v>
      </c>
      <c r="R27" s="67">
        <v>0.01</v>
      </c>
      <c r="S27" s="67">
        <v>1</v>
      </c>
      <c r="T27" s="67">
        <v>1</v>
      </c>
      <c r="U27" s="67">
        <v>1</v>
      </c>
      <c r="V27" s="67">
        <v>1</v>
      </c>
      <c r="W27" s="67">
        <v>1</v>
      </c>
      <c r="X27" s="67">
        <v>1</v>
      </c>
      <c r="Y27" s="67">
        <v>1</v>
      </c>
      <c r="Z27" s="67">
        <v>1</v>
      </c>
      <c r="AA27" s="67">
        <v>1</v>
      </c>
      <c r="AB27" s="67">
        <v>1</v>
      </c>
      <c r="AC27" s="67">
        <v>1</v>
      </c>
      <c r="AD27" s="67">
        <v>1</v>
      </c>
      <c r="AE27" s="67">
        <v>1</v>
      </c>
      <c r="AF27" s="67">
        <v>1</v>
      </c>
      <c r="AG27" s="67">
        <v>1</v>
      </c>
      <c r="AH27" s="67">
        <v>1</v>
      </c>
      <c r="AI27" s="67">
        <v>1</v>
      </c>
      <c r="AJ27" s="67">
        <v>1</v>
      </c>
      <c r="AK27" s="67">
        <v>1</v>
      </c>
      <c r="AL27" s="67">
        <v>1</v>
      </c>
      <c r="AM27" s="67">
        <v>1</v>
      </c>
      <c r="AN27" s="67">
        <v>1</v>
      </c>
      <c r="AO27" s="67">
        <v>1</v>
      </c>
      <c r="AP27" s="67">
        <v>1</v>
      </c>
      <c r="AQ27" s="67">
        <v>1</v>
      </c>
      <c r="AR27" s="67">
        <v>1</v>
      </c>
      <c r="AS27" s="67">
        <v>1</v>
      </c>
      <c r="AT27" s="67">
        <v>1</v>
      </c>
      <c r="AU27" s="67">
        <v>1</v>
      </c>
      <c r="AV27" s="67">
        <v>1</v>
      </c>
      <c r="AW27" s="67">
        <v>1</v>
      </c>
      <c r="AX27" s="67">
        <v>1</v>
      </c>
      <c r="AY27" s="67">
        <v>1</v>
      </c>
      <c r="AZ27" s="67">
        <v>1</v>
      </c>
      <c r="BA27" s="67">
        <v>1</v>
      </c>
      <c r="BB27" s="67">
        <v>1</v>
      </c>
      <c r="BC27" s="67">
        <v>1</v>
      </c>
      <c r="BD27" s="67">
        <v>1</v>
      </c>
      <c r="BE27" s="67">
        <v>1</v>
      </c>
      <c r="BF27" s="67">
        <v>1</v>
      </c>
      <c r="BG27" s="67">
        <v>1</v>
      </c>
      <c r="BH27" s="67">
        <v>1</v>
      </c>
      <c r="BI27" s="67">
        <v>1</v>
      </c>
      <c r="BJ27" s="312">
        <v>1</v>
      </c>
      <c r="BK27" s="67">
        <v>1</v>
      </c>
      <c r="BL27" s="312">
        <v>1</v>
      </c>
      <c r="BM27" s="67">
        <v>1</v>
      </c>
      <c r="BN27" s="312">
        <v>1</v>
      </c>
      <c r="BO27" s="317" t="s">
        <v>245</v>
      </c>
    </row>
    <row r="28" spans="2:67" ht="132.75" customHeight="1" x14ac:dyDescent="0.2">
      <c r="B28" s="60">
        <v>19</v>
      </c>
      <c r="C28" s="62">
        <f>'Portafolio P&amp;D'!B32</f>
        <v>0</v>
      </c>
      <c r="D28" s="61" t="str">
        <f>'Portafolio P&amp;D'!C32</f>
        <v>Proyecto 30</v>
      </c>
      <c r="E28" s="205">
        <f>'Portafolio P&amp;D'!D32</f>
        <v>0</v>
      </c>
      <c r="F28" s="61" t="str">
        <f>'Portafolio P&amp;D'!AD32</f>
        <v>04. Cerrado</v>
      </c>
      <c r="G28" s="62">
        <f ca="1">'Portafolio P&amp;D'!Q32</f>
        <v>2023</v>
      </c>
      <c r="H28" s="62">
        <f ca="1">'Portafolio P&amp;D'!R32</f>
        <v>2025</v>
      </c>
      <c r="I28" s="62" t="str">
        <f>'Portafolio P&amp;D'!E32</f>
        <v>G2</v>
      </c>
      <c r="J28" s="62" t="str">
        <f>'Portafolio P&amp;D'!F32</f>
        <v>Lider 30</v>
      </c>
      <c r="K28" s="63">
        <f ca="1">'Portafolio P&amp;D'!I32</f>
        <v>29612</v>
      </c>
      <c r="L28" s="62" t="str">
        <f>'Portafolio P&amp;D'!O32</f>
        <v>Dimension 2</v>
      </c>
      <c r="M28" s="62">
        <f>'Portafolio P&amp;D'!P32</f>
        <v>0</v>
      </c>
      <c r="N28" s="60" t="s">
        <v>32</v>
      </c>
      <c r="O28" s="64">
        <v>0.03</v>
      </c>
      <c r="P28" s="64">
        <v>0.02</v>
      </c>
      <c r="Q28" s="64">
        <v>0.05</v>
      </c>
      <c r="R28" s="64">
        <v>0.08</v>
      </c>
      <c r="S28" s="64">
        <v>0.12</v>
      </c>
      <c r="T28" s="64">
        <v>0.13</v>
      </c>
      <c r="U28" s="64">
        <v>0.17</v>
      </c>
      <c r="V28" s="64">
        <v>0.18</v>
      </c>
      <c r="W28" s="64">
        <v>0.21</v>
      </c>
      <c r="X28" s="64">
        <v>0.19</v>
      </c>
      <c r="Y28" s="64">
        <v>0.25</v>
      </c>
      <c r="Z28" s="64">
        <v>0.25</v>
      </c>
      <c r="AA28" s="64">
        <v>0.28999999999999998</v>
      </c>
      <c r="AB28" s="64">
        <v>0.34</v>
      </c>
      <c r="AC28" s="64">
        <v>0.33</v>
      </c>
      <c r="AD28" s="64">
        <v>0.37</v>
      </c>
      <c r="AE28" s="64">
        <v>0.37</v>
      </c>
      <c r="AF28" s="64">
        <v>0.43</v>
      </c>
      <c r="AG28" s="64">
        <v>0.43</v>
      </c>
      <c r="AH28" s="64">
        <v>0.49</v>
      </c>
      <c r="AI28" s="64">
        <v>0.49</v>
      </c>
      <c r="AJ28" s="64">
        <v>0.54</v>
      </c>
      <c r="AK28" s="64">
        <v>0.54</v>
      </c>
      <c r="AL28" s="64">
        <v>0.56000000000000005</v>
      </c>
      <c r="AM28" s="64">
        <v>0.57999999999999996</v>
      </c>
      <c r="AN28" s="64">
        <v>0.59</v>
      </c>
      <c r="AO28" s="64">
        <v>0.6</v>
      </c>
      <c r="AP28" s="64">
        <v>0.62</v>
      </c>
      <c r="AQ28" s="64">
        <v>0.63</v>
      </c>
      <c r="AR28" s="64">
        <v>0.67</v>
      </c>
      <c r="AS28" s="64">
        <v>0.66</v>
      </c>
      <c r="AT28" s="64">
        <v>0.69</v>
      </c>
      <c r="AU28" s="64">
        <v>0.69</v>
      </c>
      <c r="AV28" s="64">
        <v>0.72</v>
      </c>
      <c r="AW28" s="64">
        <v>0.72</v>
      </c>
      <c r="AX28" s="64">
        <v>0.74</v>
      </c>
      <c r="AY28" s="64">
        <v>0.74</v>
      </c>
      <c r="AZ28" s="64">
        <v>0.77</v>
      </c>
      <c r="BA28" s="64">
        <v>0.77</v>
      </c>
      <c r="BB28" s="64">
        <v>0.8</v>
      </c>
      <c r="BC28" s="64">
        <v>0.8</v>
      </c>
      <c r="BD28" s="64">
        <v>0.82</v>
      </c>
      <c r="BE28" s="64">
        <v>0.82</v>
      </c>
      <c r="BF28" s="64">
        <v>0.85</v>
      </c>
      <c r="BG28" s="64">
        <v>0.85</v>
      </c>
      <c r="BH28" s="64">
        <v>0.88</v>
      </c>
      <c r="BI28" s="64">
        <v>0.88</v>
      </c>
      <c r="BJ28" s="313">
        <v>0.91</v>
      </c>
      <c r="BK28" s="64">
        <v>0.86</v>
      </c>
      <c r="BL28" s="313">
        <v>0.93</v>
      </c>
      <c r="BM28" s="313">
        <v>0.87</v>
      </c>
      <c r="BN28" s="313">
        <v>0.93</v>
      </c>
      <c r="BO28" s="65" t="s">
        <v>246</v>
      </c>
    </row>
    <row r="29" spans="2:67" ht="62.25" customHeight="1" x14ac:dyDescent="0.2">
      <c r="B29" s="55">
        <v>20</v>
      </c>
      <c r="C29" s="56">
        <f>'Portafolio P&amp;D'!B33</f>
        <v>0</v>
      </c>
      <c r="D29" s="66" t="str">
        <f>'Portafolio P&amp;D'!C33</f>
        <v>Proyecto 31</v>
      </c>
      <c r="E29" s="206">
        <f>'Portafolio P&amp;D'!D33</f>
        <v>0</v>
      </c>
      <c r="F29" s="208" t="str">
        <f>'Portafolio P&amp;D'!AD33</f>
        <v>04. Cerrado</v>
      </c>
      <c r="G29" s="56">
        <f ca="1">'Portafolio P&amp;D'!Q33</f>
        <v>2020</v>
      </c>
      <c r="H29" s="56">
        <f ca="1">'Portafolio P&amp;D'!R33</f>
        <v>2022</v>
      </c>
      <c r="I29" s="56" t="str">
        <f>'Portafolio P&amp;D'!E33</f>
        <v>G2</v>
      </c>
      <c r="J29" s="56" t="str">
        <f>'Portafolio P&amp;D'!F33</f>
        <v>Lider 31</v>
      </c>
      <c r="K29" s="57">
        <f ca="1">'Portafolio P&amp;D'!I33</f>
        <v>63616</v>
      </c>
      <c r="L29" s="56" t="str">
        <f>'Portafolio P&amp;D'!O33</f>
        <v>Dimension 2</v>
      </c>
      <c r="M29" s="56">
        <f>'Portafolio P&amp;D'!P33</f>
        <v>0</v>
      </c>
      <c r="N29" s="55" t="s">
        <v>32</v>
      </c>
      <c r="O29" s="55" t="s">
        <v>32</v>
      </c>
      <c r="P29" s="55" t="s">
        <v>32</v>
      </c>
      <c r="Q29" s="55" t="s">
        <v>32</v>
      </c>
      <c r="R29" s="55" t="s">
        <v>32</v>
      </c>
      <c r="S29" s="67">
        <v>0.06</v>
      </c>
      <c r="T29" s="67">
        <v>0.06</v>
      </c>
      <c r="U29" s="67">
        <v>0.1</v>
      </c>
      <c r="V29" s="67">
        <v>0.1</v>
      </c>
      <c r="W29" s="67">
        <v>0.14000000000000001</v>
      </c>
      <c r="X29" s="67">
        <v>0.12</v>
      </c>
      <c r="Y29" s="67">
        <v>0.26</v>
      </c>
      <c r="Z29" s="67">
        <v>0.13</v>
      </c>
      <c r="AA29" s="67">
        <v>0.3</v>
      </c>
      <c r="AB29" s="67">
        <v>0.14000000000000001</v>
      </c>
      <c r="AC29" s="67">
        <v>0.33</v>
      </c>
      <c r="AD29" s="67">
        <v>0.14000000000000001</v>
      </c>
      <c r="AE29" s="67">
        <v>0.37</v>
      </c>
      <c r="AF29" s="67">
        <v>0.14000000000000001</v>
      </c>
      <c r="AG29" s="67">
        <v>0.4</v>
      </c>
      <c r="AH29" s="67">
        <v>0.16</v>
      </c>
      <c r="AI29" s="67">
        <v>0.43</v>
      </c>
      <c r="AJ29" s="67">
        <v>0.22</v>
      </c>
      <c r="AK29" s="67">
        <v>0.24</v>
      </c>
      <c r="AL29" s="67">
        <v>0.26</v>
      </c>
      <c r="AM29" s="67">
        <v>0.49</v>
      </c>
      <c r="AN29" s="67">
        <v>0.26</v>
      </c>
      <c r="AO29" s="67">
        <v>0.54</v>
      </c>
      <c r="AP29" s="67">
        <v>0.26</v>
      </c>
      <c r="AQ29" s="67">
        <v>0.64</v>
      </c>
      <c r="AR29" s="67">
        <v>0.26</v>
      </c>
      <c r="AS29" s="67">
        <v>1</v>
      </c>
      <c r="AT29" s="67">
        <v>1</v>
      </c>
      <c r="AU29" s="67">
        <v>1</v>
      </c>
      <c r="AV29" s="67">
        <v>1</v>
      </c>
      <c r="AW29" s="67">
        <v>0.98</v>
      </c>
      <c r="AX29" s="67">
        <v>0.26</v>
      </c>
      <c r="AY29" s="67" t="s">
        <v>32</v>
      </c>
      <c r="AZ29" s="67" t="s">
        <v>32</v>
      </c>
      <c r="BA29" s="67" t="s">
        <v>32</v>
      </c>
      <c r="BB29" s="67" t="s">
        <v>32</v>
      </c>
      <c r="BC29" s="67" t="s">
        <v>32</v>
      </c>
      <c r="BD29" s="67" t="s">
        <v>32</v>
      </c>
      <c r="BE29" s="67" t="s">
        <v>32</v>
      </c>
      <c r="BF29" s="67" t="s">
        <v>32</v>
      </c>
      <c r="BG29" s="67" t="s">
        <v>32</v>
      </c>
      <c r="BH29" s="67" t="s">
        <v>32</v>
      </c>
      <c r="BI29" s="67" t="s">
        <v>32</v>
      </c>
      <c r="BJ29" s="312" t="s">
        <v>32</v>
      </c>
      <c r="BK29" s="67" t="s">
        <v>32</v>
      </c>
      <c r="BL29" s="312" t="s">
        <v>32</v>
      </c>
      <c r="BM29" s="67" t="s">
        <v>32</v>
      </c>
      <c r="BN29" s="312" t="s">
        <v>32</v>
      </c>
      <c r="BO29" s="318" t="s">
        <v>247</v>
      </c>
    </row>
    <row r="30" spans="2:67" ht="30.75" customHeight="1" x14ac:dyDescent="0.2">
      <c r="B30" s="60"/>
      <c r="C30" s="62">
        <f>'Portafolio P&amp;D'!B30</f>
        <v>0</v>
      </c>
      <c r="D30" s="61" t="str">
        <f>'Portafolio P&amp;D'!C30</f>
        <v>Proyecto 28</v>
      </c>
      <c r="E30" s="205">
        <f>'Portafolio P&amp;D'!D30</f>
        <v>0</v>
      </c>
      <c r="F30" s="208" t="str">
        <f>'Portafolio P&amp;D'!AD30</f>
        <v>04. Cerrado</v>
      </c>
      <c r="G30" s="62">
        <f ca="1">'Portafolio P&amp;D'!Q30</f>
        <v>2025</v>
      </c>
      <c r="H30" s="62">
        <f ca="1">'Portafolio P&amp;D'!R30</f>
        <v>2027</v>
      </c>
      <c r="I30" s="62" t="str">
        <f>'Portafolio P&amp;D'!E30</f>
        <v>G2</v>
      </c>
      <c r="J30" s="62" t="str">
        <f>'Portafolio P&amp;D'!F30</f>
        <v>Lider 28</v>
      </c>
      <c r="K30" s="63">
        <f ca="1">'Portafolio P&amp;D'!I30</f>
        <v>18976</v>
      </c>
      <c r="L30" s="62" t="str">
        <f>'Portafolio P&amp;D'!O30</f>
        <v>Dimension 2</v>
      </c>
      <c r="M30" s="62">
        <f>'Portafolio P&amp;D'!P30</f>
        <v>0</v>
      </c>
      <c r="N30" s="211" t="s">
        <v>248</v>
      </c>
      <c r="O30" s="212">
        <v>0.57999999999999996</v>
      </c>
      <c r="P30" s="212">
        <v>0.72</v>
      </c>
      <c r="Q30" s="212">
        <v>0.61</v>
      </c>
      <c r="R30" s="212">
        <v>0.76</v>
      </c>
      <c r="S30" s="212">
        <v>0.87</v>
      </c>
      <c r="T30" s="212">
        <v>0.89</v>
      </c>
      <c r="U30" s="212">
        <v>0.89</v>
      </c>
      <c r="V30" s="212">
        <v>0.89</v>
      </c>
      <c r="W30" s="212">
        <v>0.91</v>
      </c>
      <c r="X30" s="212">
        <v>0.73</v>
      </c>
      <c r="Y30" s="212">
        <v>0.92</v>
      </c>
      <c r="Z30" s="212">
        <v>0.84</v>
      </c>
      <c r="AA30" s="212">
        <v>0.93</v>
      </c>
      <c r="AB30" s="212">
        <v>0.71</v>
      </c>
      <c r="AC30" s="212">
        <v>0.94</v>
      </c>
      <c r="AD30" s="212">
        <v>0.74</v>
      </c>
      <c r="AE30" s="212">
        <v>0.96</v>
      </c>
      <c r="AF30" s="212">
        <v>0.74</v>
      </c>
      <c r="AG30" s="212">
        <v>0.98</v>
      </c>
      <c r="AH30" s="212">
        <v>0.74</v>
      </c>
      <c r="AI30" s="211" t="s">
        <v>248</v>
      </c>
      <c r="AJ30" s="211" t="s">
        <v>248</v>
      </c>
      <c r="AK30" s="212">
        <v>1</v>
      </c>
      <c r="AL30" s="212">
        <v>1</v>
      </c>
      <c r="AM30" s="212">
        <v>1</v>
      </c>
      <c r="AN30" s="212">
        <v>1</v>
      </c>
      <c r="AO30" s="212">
        <v>1</v>
      </c>
      <c r="AP30" s="212">
        <v>1</v>
      </c>
      <c r="AQ30" s="213" t="s">
        <v>32</v>
      </c>
      <c r="AR30" s="213" t="s">
        <v>32</v>
      </c>
      <c r="AS30" s="213" t="s">
        <v>32</v>
      </c>
      <c r="AT30" s="213" t="s">
        <v>32</v>
      </c>
      <c r="AU30" s="213" t="s">
        <v>32</v>
      </c>
      <c r="AV30" s="213" t="s">
        <v>32</v>
      </c>
      <c r="AW30" s="213" t="s">
        <v>32</v>
      </c>
      <c r="AX30" s="213" t="s">
        <v>32</v>
      </c>
      <c r="AY30" s="213" t="s">
        <v>32</v>
      </c>
      <c r="AZ30" s="213" t="s">
        <v>32</v>
      </c>
      <c r="BA30" s="213" t="s">
        <v>32</v>
      </c>
      <c r="BB30" s="213" t="s">
        <v>32</v>
      </c>
      <c r="BC30" s="213" t="s">
        <v>32</v>
      </c>
      <c r="BD30" s="213" t="s">
        <v>32</v>
      </c>
      <c r="BE30" s="213" t="s">
        <v>32</v>
      </c>
      <c r="BF30" s="213" t="s">
        <v>32</v>
      </c>
      <c r="BG30" s="213" t="s">
        <v>32</v>
      </c>
      <c r="BH30" s="213" t="s">
        <v>32</v>
      </c>
      <c r="BI30" s="213" t="s">
        <v>32</v>
      </c>
      <c r="BJ30" s="214" t="s">
        <v>32</v>
      </c>
      <c r="BK30" s="214" t="s">
        <v>32</v>
      </c>
      <c r="BL30" s="214" t="s">
        <v>32</v>
      </c>
      <c r="BM30" s="214" t="s">
        <v>32</v>
      </c>
      <c r="BN30" s="214" t="s">
        <v>32</v>
      </c>
      <c r="BO30" s="215"/>
    </row>
    <row r="31" spans="2:67" ht="76.5" x14ac:dyDescent="0.2">
      <c r="B31" s="55">
        <v>21</v>
      </c>
      <c r="C31" s="56">
        <f>'Portafolio P&amp;D'!B37</f>
        <v>0</v>
      </c>
      <c r="D31" s="66" t="str">
        <f>'Portafolio P&amp;D'!C37</f>
        <v>Proyecto 35</v>
      </c>
      <c r="E31" s="206">
        <f>'Portafolio P&amp;D'!D37</f>
        <v>0</v>
      </c>
      <c r="F31" s="66" t="str">
        <f>'Portafolio P&amp;D'!AD37</f>
        <v>02. En Curso</v>
      </c>
      <c r="G31" s="56">
        <f ca="1">'Portafolio P&amp;D'!Q37</f>
        <v>2023</v>
      </c>
      <c r="H31" s="56">
        <f ca="1">'Portafolio P&amp;D'!R37</f>
        <v>2025</v>
      </c>
      <c r="I31" s="56" t="str">
        <f>'Portafolio P&amp;D'!E37</f>
        <v>G2</v>
      </c>
      <c r="J31" s="56" t="str">
        <f>'Portafolio P&amp;D'!F37</f>
        <v>Lider 35</v>
      </c>
      <c r="K31" s="57">
        <f ca="1">'Portafolio P&amp;D'!I37</f>
        <v>81432</v>
      </c>
      <c r="L31" s="56" t="str">
        <f>'Portafolio P&amp;D'!O37</f>
        <v>Dimension 2</v>
      </c>
      <c r="M31" s="56">
        <f>'Portafolio P&amp;D'!P37</f>
        <v>0</v>
      </c>
      <c r="N31" s="55" t="s">
        <v>32</v>
      </c>
      <c r="O31" s="55" t="s">
        <v>32</v>
      </c>
      <c r="P31" s="55" t="s">
        <v>32</v>
      </c>
      <c r="Q31" s="55" t="s">
        <v>32</v>
      </c>
      <c r="R31" s="55" t="s">
        <v>32</v>
      </c>
      <c r="S31" s="55" t="s">
        <v>32</v>
      </c>
      <c r="T31" s="55" t="s">
        <v>32</v>
      </c>
      <c r="U31" s="55" t="s">
        <v>32</v>
      </c>
      <c r="V31" s="55" t="s">
        <v>32</v>
      </c>
      <c r="W31" s="55" t="s">
        <v>32</v>
      </c>
      <c r="X31" s="55" t="s">
        <v>32</v>
      </c>
      <c r="Y31" s="55" t="s">
        <v>32</v>
      </c>
      <c r="Z31" s="55" t="s">
        <v>32</v>
      </c>
      <c r="AA31" s="55" t="s">
        <v>32</v>
      </c>
      <c r="AB31" s="55" t="s">
        <v>32</v>
      </c>
      <c r="AC31" s="55" t="s">
        <v>32</v>
      </c>
      <c r="AD31" s="55" t="s">
        <v>32</v>
      </c>
      <c r="AE31" s="55" t="s">
        <v>32</v>
      </c>
      <c r="AF31" s="55" t="s">
        <v>32</v>
      </c>
      <c r="AG31" s="55" t="s">
        <v>32</v>
      </c>
      <c r="AH31" s="55" t="s">
        <v>32</v>
      </c>
      <c r="AI31" s="55" t="s">
        <v>32</v>
      </c>
      <c r="AJ31" s="55" t="s">
        <v>32</v>
      </c>
      <c r="AK31" s="55" t="s">
        <v>32</v>
      </c>
      <c r="AL31" s="55" t="s">
        <v>32</v>
      </c>
      <c r="AM31" s="67">
        <v>0.22</v>
      </c>
      <c r="AN31" s="67">
        <v>0.19</v>
      </c>
      <c r="AO31" s="67">
        <v>0.32</v>
      </c>
      <c r="AP31" s="67">
        <v>0.27</v>
      </c>
      <c r="AQ31" s="67">
        <v>0.48</v>
      </c>
      <c r="AR31" s="67">
        <v>0.42</v>
      </c>
      <c r="AS31" s="67">
        <v>0.56000000000000005</v>
      </c>
      <c r="AT31" s="67">
        <v>0.52</v>
      </c>
      <c r="AU31" s="67">
        <v>0.66</v>
      </c>
      <c r="AV31" s="67">
        <v>0.62</v>
      </c>
      <c r="AW31" s="67">
        <v>0.75</v>
      </c>
      <c r="AX31" s="67">
        <v>0.68</v>
      </c>
      <c r="AY31" s="67">
        <v>0.76</v>
      </c>
      <c r="AZ31" s="67">
        <v>0.7</v>
      </c>
      <c r="BA31" s="67">
        <v>0.83</v>
      </c>
      <c r="BB31" s="67">
        <v>0.76</v>
      </c>
      <c r="BC31" s="67">
        <v>0.96</v>
      </c>
      <c r="BD31" s="67">
        <v>0.81</v>
      </c>
      <c r="BE31" s="67">
        <v>0.97</v>
      </c>
      <c r="BF31" s="67">
        <v>0.81</v>
      </c>
      <c r="BG31" s="67">
        <v>0.94</v>
      </c>
      <c r="BH31" s="67">
        <v>0.88</v>
      </c>
      <c r="BI31" s="67">
        <v>1</v>
      </c>
      <c r="BJ31" s="312">
        <v>0.98</v>
      </c>
      <c r="BK31" s="67">
        <v>1</v>
      </c>
      <c r="BL31" s="312">
        <v>1</v>
      </c>
      <c r="BM31" s="312">
        <v>1</v>
      </c>
      <c r="BN31" s="312">
        <v>1</v>
      </c>
      <c r="BO31" s="321" t="s">
        <v>249</v>
      </c>
    </row>
    <row r="32" spans="2:67" ht="34.5" customHeight="1" x14ac:dyDescent="0.2">
      <c r="B32" s="60">
        <v>22</v>
      </c>
      <c r="C32" s="62">
        <f>'Portafolio P&amp;D'!B34</f>
        <v>0</v>
      </c>
      <c r="D32" s="61" t="str">
        <f>'Portafolio P&amp;D'!C34</f>
        <v>Proyecto 32</v>
      </c>
      <c r="E32" s="205">
        <f>'Portafolio P&amp;D'!D34</f>
        <v>0</v>
      </c>
      <c r="F32" s="61" t="str">
        <f>'Portafolio P&amp;D'!AD34</f>
        <v>04. Cerrado</v>
      </c>
      <c r="G32" s="62">
        <f ca="1">'Portafolio P&amp;D'!Q34</f>
        <v>2026</v>
      </c>
      <c r="H32" s="62">
        <f ca="1">'Portafolio P&amp;D'!R34</f>
        <v>2028</v>
      </c>
      <c r="I32" s="62" t="str">
        <f>'Portafolio P&amp;D'!E34</f>
        <v>G2</v>
      </c>
      <c r="J32" s="62" t="str">
        <f>'Portafolio P&amp;D'!F34</f>
        <v>Lider 32</v>
      </c>
      <c r="K32" s="63">
        <f ca="1">'Portafolio P&amp;D'!I34</f>
        <v>88752</v>
      </c>
      <c r="L32" s="62" t="str">
        <f>'Portafolio P&amp;D'!O34</f>
        <v>Dimension 2</v>
      </c>
      <c r="M32" s="62">
        <f>'Portafolio P&amp;D'!P34</f>
        <v>0</v>
      </c>
      <c r="N32" s="60" t="s">
        <v>32</v>
      </c>
      <c r="O32" s="60" t="s">
        <v>32</v>
      </c>
      <c r="P32" s="60" t="s">
        <v>32</v>
      </c>
      <c r="Q32" s="60" t="s">
        <v>32</v>
      </c>
      <c r="R32" s="60" t="s">
        <v>32</v>
      </c>
      <c r="S32" s="60" t="s">
        <v>32</v>
      </c>
      <c r="T32" s="60" t="s">
        <v>32</v>
      </c>
      <c r="U32" s="60" t="s">
        <v>32</v>
      </c>
      <c r="V32" s="60" t="s">
        <v>32</v>
      </c>
      <c r="W32" s="60" t="s">
        <v>32</v>
      </c>
      <c r="X32" s="60" t="s">
        <v>32</v>
      </c>
      <c r="Y32" s="60" t="s">
        <v>32</v>
      </c>
      <c r="Z32" s="60" t="s">
        <v>32</v>
      </c>
      <c r="AA32" s="60" t="s">
        <v>32</v>
      </c>
      <c r="AB32" s="60" t="s">
        <v>32</v>
      </c>
      <c r="AC32" s="60" t="s">
        <v>32</v>
      </c>
      <c r="AD32" s="60" t="s">
        <v>32</v>
      </c>
      <c r="AE32" s="60" t="s">
        <v>32</v>
      </c>
      <c r="AF32" s="60" t="s">
        <v>32</v>
      </c>
      <c r="AG32" s="60" t="s">
        <v>32</v>
      </c>
      <c r="AH32" s="60" t="s">
        <v>32</v>
      </c>
      <c r="AI32" s="60" t="s">
        <v>32</v>
      </c>
      <c r="AJ32" s="60" t="s">
        <v>32</v>
      </c>
      <c r="AK32" s="60" t="s">
        <v>32</v>
      </c>
      <c r="AL32" s="60" t="s">
        <v>32</v>
      </c>
      <c r="AM32" s="64">
        <v>0.87</v>
      </c>
      <c r="AN32" s="64">
        <v>0.87</v>
      </c>
      <c r="AO32" s="64">
        <v>0.89</v>
      </c>
      <c r="AP32" s="64">
        <v>0.89</v>
      </c>
      <c r="AQ32" s="64">
        <v>0.98</v>
      </c>
      <c r="AR32" s="64">
        <v>0.94</v>
      </c>
      <c r="AS32" s="64">
        <v>1</v>
      </c>
      <c r="AT32" s="64">
        <v>0.95</v>
      </c>
      <c r="AU32" s="64">
        <v>1</v>
      </c>
      <c r="AV32" s="64">
        <v>0.95</v>
      </c>
      <c r="AW32" s="64">
        <v>1</v>
      </c>
      <c r="AX32" s="64">
        <v>0.98</v>
      </c>
      <c r="AY32" s="64">
        <v>1</v>
      </c>
      <c r="AZ32" s="64">
        <v>0.98</v>
      </c>
      <c r="BA32" s="64">
        <v>1</v>
      </c>
      <c r="BB32" s="64">
        <v>0.98</v>
      </c>
      <c r="BC32" s="64">
        <v>1</v>
      </c>
      <c r="BD32" s="64">
        <v>0.98</v>
      </c>
      <c r="BE32" s="64">
        <v>1</v>
      </c>
      <c r="BF32" s="64">
        <v>0.98</v>
      </c>
      <c r="BG32" s="64">
        <v>0.8</v>
      </c>
      <c r="BH32" s="64">
        <v>0.77</v>
      </c>
      <c r="BI32" s="64">
        <v>0.82</v>
      </c>
      <c r="BJ32" s="313">
        <v>0.77</v>
      </c>
      <c r="BK32" s="64">
        <v>0.82</v>
      </c>
      <c r="BL32" s="313">
        <v>0.79</v>
      </c>
      <c r="BM32" s="313">
        <v>0.86</v>
      </c>
      <c r="BN32" s="313">
        <v>0.84</v>
      </c>
      <c r="BO32" s="65" t="s">
        <v>250</v>
      </c>
    </row>
    <row r="33" spans="2:67" ht="114.75" x14ac:dyDescent="0.2">
      <c r="B33" s="55">
        <v>23</v>
      </c>
      <c r="C33" s="56">
        <f>'Portafolio P&amp;D'!B36</f>
        <v>0</v>
      </c>
      <c r="D33" s="66" t="str">
        <f>'Portafolio P&amp;D'!C36</f>
        <v>Proyecto 34</v>
      </c>
      <c r="E33" s="206">
        <f>'Portafolio P&amp;D'!D36</f>
        <v>0</v>
      </c>
      <c r="F33" s="66" t="str">
        <f>'Portafolio P&amp;D'!AD36</f>
        <v>02. En Curso</v>
      </c>
      <c r="G33" s="56">
        <f ca="1">'Portafolio P&amp;D'!Q36</f>
        <v>2024</v>
      </c>
      <c r="H33" s="56">
        <f ca="1">'Portafolio P&amp;D'!R36</f>
        <v>2026</v>
      </c>
      <c r="I33" s="56" t="str">
        <f>'Portafolio P&amp;D'!E36</f>
        <v>G2</v>
      </c>
      <c r="J33" s="56" t="str">
        <f>'Portafolio P&amp;D'!F36</f>
        <v>Lider 34</v>
      </c>
      <c r="K33" s="57">
        <f ca="1">'Portafolio P&amp;D'!I36</f>
        <v>35005</v>
      </c>
      <c r="L33" s="56" t="str">
        <f>'Portafolio P&amp;D'!O36</f>
        <v>Dimension 2</v>
      </c>
      <c r="M33" s="56">
        <f>'Portafolio P&amp;D'!P36</f>
        <v>0</v>
      </c>
      <c r="N33" s="55" t="s">
        <v>32</v>
      </c>
      <c r="O33" s="55" t="s">
        <v>32</v>
      </c>
      <c r="P33" s="55" t="s">
        <v>32</v>
      </c>
      <c r="Q33" s="55" t="s">
        <v>32</v>
      </c>
      <c r="R33" s="55" t="s">
        <v>32</v>
      </c>
      <c r="S33" s="55" t="s">
        <v>32</v>
      </c>
      <c r="T33" s="55" t="s">
        <v>32</v>
      </c>
      <c r="U33" s="55" t="s">
        <v>32</v>
      </c>
      <c r="V33" s="55" t="s">
        <v>32</v>
      </c>
      <c r="W33" s="55" t="s">
        <v>32</v>
      </c>
      <c r="X33" s="55" t="s">
        <v>32</v>
      </c>
      <c r="Y33" s="55" t="s">
        <v>32</v>
      </c>
      <c r="Z33" s="55" t="s">
        <v>32</v>
      </c>
      <c r="AA33" s="55" t="s">
        <v>32</v>
      </c>
      <c r="AB33" s="55" t="s">
        <v>32</v>
      </c>
      <c r="AC33" s="55" t="s">
        <v>32</v>
      </c>
      <c r="AD33" s="55" t="s">
        <v>32</v>
      </c>
      <c r="AE33" s="55" t="s">
        <v>32</v>
      </c>
      <c r="AF33" s="55" t="s">
        <v>32</v>
      </c>
      <c r="AG33" s="55" t="s">
        <v>32</v>
      </c>
      <c r="AH33" s="55" t="s">
        <v>32</v>
      </c>
      <c r="AI33" s="55" t="s">
        <v>32</v>
      </c>
      <c r="AJ33" s="55" t="s">
        <v>32</v>
      </c>
      <c r="AK33" s="55" t="s">
        <v>32</v>
      </c>
      <c r="AL33" s="55" t="s">
        <v>32</v>
      </c>
      <c r="AM33" s="67" t="s">
        <v>32</v>
      </c>
      <c r="AN33" s="67" t="s">
        <v>32</v>
      </c>
      <c r="AO33" s="67" t="s">
        <v>32</v>
      </c>
      <c r="AP33" s="67" t="s">
        <v>32</v>
      </c>
      <c r="AQ33" s="67">
        <v>0.37</v>
      </c>
      <c r="AR33" s="67">
        <v>0.34</v>
      </c>
      <c r="AS33" s="67">
        <v>0.43</v>
      </c>
      <c r="AT33" s="67">
        <v>0.44</v>
      </c>
      <c r="AU33" s="67">
        <v>0.5</v>
      </c>
      <c r="AV33" s="67">
        <v>0.46</v>
      </c>
      <c r="AW33" s="67">
        <v>0.52</v>
      </c>
      <c r="AX33" s="67">
        <v>0.49</v>
      </c>
      <c r="AY33" s="67">
        <v>0.61</v>
      </c>
      <c r="AZ33" s="67">
        <v>0.5</v>
      </c>
      <c r="BA33" s="67">
        <v>0.7</v>
      </c>
      <c r="BB33" s="67">
        <v>0.5</v>
      </c>
      <c r="BC33" s="67">
        <v>0.74</v>
      </c>
      <c r="BD33" s="67">
        <v>0.51</v>
      </c>
      <c r="BE33" s="67">
        <v>0.78</v>
      </c>
      <c r="BF33" s="67">
        <v>0.51</v>
      </c>
      <c r="BG33" s="67">
        <v>0.56999999999999995</v>
      </c>
      <c r="BH33" s="67">
        <v>0.6</v>
      </c>
      <c r="BI33" s="67">
        <v>0.63</v>
      </c>
      <c r="BJ33" s="312">
        <v>0.61</v>
      </c>
      <c r="BK33" s="67">
        <v>0.83</v>
      </c>
      <c r="BL33" s="312">
        <v>0.67</v>
      </c>
      <c r="BM33" s="312">
        <v>0.53</v>
      </c>
      <c r="BN33" s="312">
        <v>0.53</v>
      </c>
      <c r="BO33" s="73" t="s">
        <v>251</v>
      </c>
    </row>
    <row r="34" spans="2:67" ht="111" customHeight="1" x14ac:dyDescent="0.2">
      <c r="B34" s="60">
        <v>24</v>
      </c>
      <c r="C34" s="62">
        <f>'Portafolio P&amp;D'!B40</f>
        <v>0</v>
      </c>
      <c r="D34" s="61" t="str">
        <f>'Portafolio P&amp;D'!C40</f>
        <v>Proyecto 38</v>
      </c>
      <c r="E34" s="205">
        <f>'Portafolio P&amp;D'!D40</f>
        <v>0</v>
      </c>
      <c r="F34" s="208" t="str">
        <f>'Portafolio P&amp;D'!AD40</f>
        <v>04. Cerrado</v>
      </c>
      <c r="G34" s="62">
        <f ca="1">'Portafolio P&amp;D'!Q40</f>
        <v>2021</v>
      </c>
      <c r="H34" s="62">
        <f ca="1">'Portafolio P&amp;D'!R40</f>
        <v>2023</v>
      </c>
      <c r="I34" s="62" t="str">
        <f>'Portafolio P&amp;D'!E40</f>
        <v>G2</v>
      </c>
      <c r="J34" s="62" t="str">
        <f>'Portafolio P&amp;D'!F40</f>
        <v>Lider 38</v>
      </c>
      <c r="K34" s="63">
        <f ca="1">'Portafolio P&amp;D'!I40</f>
        <v>14804</v>
      </c>
      <c r="L34" s="62" t="str">
        <f>'Portafolio P&amp;D'!O40</f>
        <v>Dimension 2</v>
      </c>
      <c r="M34" s="62">
        <f>'Portafolio P&amp;D'!P40</f>
        <v>0</v>
      </c>
      <c r="N34" s="60" t="s">
        <v>32</v>
      </c>
      <c r="O34" s="60" t="s">
        <v>32</v>
      </c>
      <c r="P34" s="60" t="s">
        <v>32</v>
      </c>
      <c r="Q34" s="60" t="s">
        <v>32</v>
      </c>
      <c r="R34" s="60" t="s">
        <v>32</v>
      </c>
      <c r="S34" s="60" t="s">
        <v>32</v>
      </c>
      <c r="T34" s="60" t="s">
        <v>32</v>
      </c>
      <c r="U34" s="60" t="s">
        <v>32</v>
      </c>
      <c r="V34" s="60" t="s">
        <v>32</v>
      </c>
      <c r="W34" s="60" t="s">
        <v>32</v>
      </c>
      <c r="X34" s="60" t="s">
        <v>32</v>
      </c>
      <c r="Y34" s="60" t="s">
        <v>32</v>
      </c>
      <c r="Z34" s="60" t="s">
        <v>32</v>
      </c>
      <c r="AA34" s="60" t="s">
        <v>32</v>
      </c>
      <c r="AB34" s="60" t="s">
        <v>32</v>
      </c>
      <c r="AC34" s="60" t="s">
        <v>32</v>
      </c>
      <c r="AD34" s="60" t="s">
        <v>32</v>
      </c>
      <c r="AE34" s="60" t="s">
        <v>32</v>
      </c>
      <c r="AF34" s="60" t="s">
        <v>32</v>
      </c>
      <c r="AG34" s="60" t="s">
        <v>32</v>
      </c>
      <c r="AH34" s="60" t="s">
        <v>32</v>
      </c>
      <c r="AI34" s="60" t="s">
        <v>32</v>
      </c>
      <c r="AJ34" s="60" t="s">
        <v>32</v>
      </c>
      <c r="AK34" s="60" t="s">
        <v>32</v>
      </c>
      <c r="AL34" s="60" t="s">
        <v>32</v>
      </c>
      <c r="AM34" s="64" t="s">
        <v>32</v>
      </c>
      <c r="AN34" s="64" t="s">
        <v>32</v>
      </c>
      <c r="AO34" s="64" t="s">
        <v>32</v>
      </c>
      <c r="AP34" s="64" t="s">
        <v>32</v>
      </c>
      <c r="AQ34" s="64" t="s">
        <v>32</v>
      </c>
      <c r="AR34" s="64" t="s">
        <v>32</v>
      </c>
      <c r="AS34" s="64" t="s">
        <v>32</v>
      </c>
      <c r="AT34" s="64" t="s">
        <v>32</v>
      </c>
      <c r="AU34" s="64" t="s">
        <v>32</v>
      </c>
      <c r="AV34" s="64" t="s">
        <v>32</v>
      </c>
      <c r="AW34" s="64">
        <v>0.24</v>
      </c>
      <c r="AX34" s="64">
        <v>0.26</v>
      </c>
      <c r="AY34" s="64">
        <v>0.37</v>
      </c>
      <c r="AZ34" s="64">
        <v>0.42</v>
      </c>
      <c r="BA34" s="64">
        <v>0.45</v>
      </c>
      <c r="BB34" s="64">
        <v>0.45</v>
      </c>
      <c r="BC34" s="64">
        <v>0.49</v>
      </c>
      <c r="BD34" s="64">
        <v>0.45</v>
      </c>
      <c r="BE34" s="64">
        <v>0.57999999999999996</v>
      </c>
      <c r="BF34" s="64">
        <v>0.45</v>
      </c>
      <c r="BG34" s="64" t="s">
        <v>32</v>
      </c>
      <c r="BH34" s="64" t="s">
        <v>32</v>
      </c>
      <c r="BI34" s="64" t="s">
        <v>32</v>
      </c>
      <c r="BJ34" s="313" t="s">
        <v>32</v>
      </c>
      <c r="BK34" s="313" t="s">
        <v>32</v>
      </c>
      <c r="BL34" s="313" t="s">
        <v>32</v>
      </c>
      <c r="BM34" s="313" t="s">
        <v>32</v>
      </c>
      <c r="BN34" s="313" t="s">
        <v>32</v>
      </c>
      <c r="BO34" s="302" t="s">
        <v>252</v>
      </c>
    </row>
    <row r="35" spans="2:67" ht="55.5" customHeight="1" x14ac:dyDescent="0.2">
      <c r="B35" s="55">
        <v>25</v>
      </c>
      <c r="C35" s="56">
        <f>'Portafolio P&amp;D'!B38</f>
        <v>0</v>
      </c>
      <c r="D35" s="66" t="str">
        <f>'Portafolio P&amp;D'!C38</f>
        <v>Proyecto 36</v>
      </c>
      <c r="E35" s="206">
        <f>'Portafolio P&amp;D'!D38</f>
        <v>0</v>
      </c>
      <c r="F35" s="69" t="str">
        <f>'Portafolio P&amp;D'!AD38</f>
        <v>03. Implementado</v>
      </c>
      <c r="G35" s="56">
        <f ca="1">'Portafolio P&amp;D'!Q38</f>
        <v>2025</v>
      </c>
      <c r="H35" s="56">
        <f ca="1">'Portafolio P&amp;D'!R38</f>
        <v>2027</v>
      </c>
      <c r="I35" s="56" t="str">
        <f>'Portafolio P&amp;D'!E38</f>
        <v>G2</v>
      </c>
      <c r="J35" s="56" t="str">
        <f>'Portafolio P&amp;D'!F38</f>
        <v>Lider 36</v>
      </c>
      <c r="K35" s="57">
        <f ca="1">'Portafolio P&amp;D'!I38</f>
        <v>96355</v>
      </c>
      <c r="L35" s="56" t="str">
        <f>'Portafolio P&amp;D'!O38</f>
        <v>Dimension 2</v>
      </c>
      <c r="M35" s="56">
        <f>'Portafolio P&amp;D'!P38</f>
        <v>0</v>
      </c>
      <c r="N35" s="55" t="s">
        <v>32</v>
      </c>
      <c r="O35" s="55" t="s">
        <v>32</v>
      </c>
      <c r="P35" s="55" t="s">
        <v>32</v>
      </c>
      <c r="Q35" s="55" t="s">
        <v>32</v>
      </c>
      <c r="R35" s="55" t="s">
        <v>32</v>
      </c>
      <c r="S35" s="55" t="s">
        <v>32</v>
      </c>
      <c r="T35" s="55" t="s">
        <v>32</v>
      </c>
      <c r="U35" s="55" t="s">
        <v>32</v>
      </c>
      <c r="V35" s="55" t="s">
        <v>32</v>
      </c>
      <c r="W35" s="55" t="s">
        <v>32</v>
      </c>
      <c r="X35" s="55" t="s">
        <v>32</v>
      </c>
      <c r="Y35" s="55" t="s">
        <v>32</v>
      </c>
      <c r="Z35" s="55" t="s">
        <v>32</v>
      </c>
      <c r="AA35" s="55" t="s">
        <v>32</v>
      </c>
      <c r="AB35" s="55" t="s">
        <v>32</v>
      </c>
      <c r="AC35" s="55" t="s">
        <v>32</v>
      </c>
      <c r="AD35" s="55" t="s">
        <v>32</v>
      </c>
      <c r="AE35" s="55" t="s">
        <v>32</v>
      </c>
      <c r="AF35" s="55" t="s">
        <v>32</v>
      </c>
      <c r="AG35" s="55" t="s">
        <v>32</v>
      </c>
      <c r="AH35" s="55" t="s">
        <v>32</v>
      </c>
      <c r="AI35" s="55" t="s">
        <v>32</v>
      </c>
      <c r="AJ35" s="55" t="s">
        <v>32</v>
      </c>
      <c r="AK35" s="55" t="s">
        <v>32</v>
      </c>
      <c r="AL35" s="55" t="s">
        <v>32</v>
      </c>
      <c r="AM35" s="67" t="s">
        <v>32</v>
      </c>
      <c r="AN35" s="67" t="s">
        <v>32</v>
      </c>
      <c r="AO35" s="67" t="s">
        <v>32</v>
      </c>
      <c r="AP35" s="67" t="s">
        <v>32</v>
      </c>
      <c r="AQ35" s="67" t="s">
        <v>32</v>
      </c>
      <c r="AR35" s="67" t="s">
        <v>32</v>
      </c>
      <c r="AS35" s="67">
        <v>0.65</v>
      </c>
      <c r="AT35" s="67">
        <v>0.65</v>
      </c>
      <c r="AU35" s="67">
        <v>0.71</v>
      </c>
      <c r="AV35" s="67">
        <v>0.73</v>
      </c>
      <c r="AW35" s="67">
        <v>0.82</v>
      </c>
      <c r="AX35" s="67">
        <v>0.84</v>
      </c>
      <c r="AY35" s="67">
        <v>0.91</v>
      </c>
      <c r="AZ35" s="67">
        <v>0.89</v>
      </c>
      <c r="BA35" s="67">
        <v>0.99</v>
      </c>
      <c r="BB35" s="67">
        <v>0.99</v>
      </c>
      <c r="BC35" s="67">
        <v>1</v>
      </c>
      <c r="BD35" s="67">
        <v>1</v>
      </c>
      <c r="BE35" s="67">
        <v>1</v>
      </c>
      <c r="BF35" s="67">
        <v>1</v>
      </c>
      <c r="BG35" s="67">
        <v>1</v>
      </c>
      <c r="BH35" s="67">
        <v>1</v>
      </c>
      <c r="BI35" s="67">
        <v>1</v>
      </c>
      <c r="BJ35" s="312">
        <v>1</v>
      </c>
      <c r="BK35" s="67">
        <v>1</v>
      </c>
      <c r="BL35" s="312">
        <v>1</v>
      </c>
      <c r="BM35" s="67">
        <v>1</v>
      </c>
      <c r="BN35" s="312">
        <v>1</v>
      </c>
      <c r="BO35" s="73" t="s">
        <v>253</v>
      </c>
    </row>
    <row r="36" spans="2:67" ht="64.5" customHeight="1" x14ac:dyDescent="0.2">
      <c r="B36" s="60">
        <v>26</v>
      </c>
      <c r="C36" s="62">
        <f>'Portafolio P&amp;D'!B8</f>
        <v>0</v>
      </c>
      <c r="D36" s="61" t="str">
        <f>'Portafolio P&amp;D'!C8</f>
        <v>Proyecto 6</v>
      </c>
      <c r="E36" s="205">
        <f>'Portafolio P&amp;D'!D8</f>
        <v>0</v>
      </c>
      <c r="F36" s="61" t="str">
        <f>'Portafolio P&amp;D'!AD8</f>
        <v>02. En Curso</v>
      </c>
      <c r="G36" s="62">
        <f ca="1">'Portafolio P&amp;D'!Q8</f>
        <v>2023</v>
      </c>
      <c r="H36" s="62">
        <f ca="1">'Portafolio P&amp;D'!R8</f>
        <v>2025</v>
      </c>
      <c r="I36" s="62" t="str">
        <f>'Portafolio P&amp;D'!E8</f>
        <v>G1</v>
      </c>
      <c r="J36" s="62" t="str">
        <f>'Portafolio P&amp;D'!F8</f>
        <v>Lider 6</v>
      </c>
      <c r="K36" s="63">
        <f ca="1">'Portafolio P&amp;D'!I8</f>
        <v>47299</v>
      </c>
      <c r="L36" s="62" t="str">
        <f>'Portafolio P&amp;D'!O8</f>
        <v>Dimension 1</v>
      </c>
      <c r="M36" s="62">
        <f>'Portafolio P&amp;D'!P8</f>
        <v>0</v>
      </c>
      <c r="N36" s="60" t="s">
        <v>32</v>
      </c>
      <c r="O36" s="60" t="s">
        <v>32</v>
      </c>
      <c r="P36" s="60" t="s">
        <v>32</v>
      </c>
      <c r="Q36" s="60" t="s">
        <v>32</v>
      </c>
      <c r="R36" s="60" t="s">
        <v>32</v>
      </c>
      <c r="S36" s="60" t="s">
        <v>32</v>
      </c>
      <c r="T36" s="60" t="s">
        <v>32</v>
      </c>
      <c r="U36" s="60" t="s">
        <v>32</v>
      </c>
      <c r="V36" s="60" t="s">
        <v>32</v>
      </c>
      <c r="W36" s="60" t="s">
        <v>32</v>
      </c>
      <c r="X36" s="60" t="s">
        <v>32</v>
      </c>
      <c r="Y36" s="60" t="s">
        <v>32</v>
      </c>
      <c r="Z36" s="60" t="s">
        <v>32</v>
      </c>
      <c r="AA36" s="60" t="s">
        <v>32</v>
      </c>
      <c r="AB36" s="60" t="s">
        <v>32</v>
      </c>
      <c r="AC36" s="60" t="s">
        <v>32</v>
      </c>
      <c r="AD36" s="60" t="s">
        <v>32</v>
      </c>
      <c r="AE36" s="60" t="s">
        <v>32</v>
      </c>
      <c r="AF36" s="60" t="s">
        <v>32</v>
      </c>
      <c r="AG36" s="60" t="s">
        <v>32</v>
      </c>
      <c r="AH36" s="60" t="s">
        <v>32</v>
      </c>
      <c r="AI36" s="60" t="s">
        <v>32</v>
      </c>
      <c r="AJ36" s="60" t="s">
        <v>32</v>
      </c>
      <c r="AK36" s="60" t="s">
        <v>32</v>
      </c>
      <c r="AL36" s="60" t="s">
        <v>32</v>
      </c>
      <c r="AM36" s="64" t="s">
        <v>32</v>
      </c>
      <c r="AN36" s="64" t="s">
        <v>32</v>
      </c>
      <c r="AO36" s="64" t="s">
        <v>32</v>
      </c>
      <c r="AP36" s="64" t="s">
        <v>32</v>
      </c>
      <c r="AQ36" s="64" t="s">
        <v>32</v>
      </c>
      <c r="AR36" s="64" t="s">
        <v>32</v>
      </c>
      <c r="AS36" s="64" t="s">
        <v>32</v>
      </c>
      <c r="AT36" s="64" t="s">
        <v>32</v>
      </c>
      <c r="AU36" s="64" t="s">
        <v>32</v>
      </c>
      <c r="AV36" s="64" t="s">
        <v>32</v>
      </c>
      <c r="AW36" s="64">
        <v>0.38</v>
      </c>
      <c r="AX36" s="64">
        <v>0.38</v>
      </c>
      <c r="AY36" s="64">
        <v>0.39</v>
      </c>
      <c r="AZ36" s="64">
        <v>0.39</v>
      </c>
      <c r="BA36" s="64">
        <v>0.44</v>
      </c>
      <c r="BB36" s="64">
        <v>0.44</v>
      </c>
      <c r="BC36" s="64">
        <v>0.47</v>
      </c>
      <c r="BD36" s="64">
        <v>0.45</v>
      </c>
      <c r="BE36" s="64">
        <v>0.5</v>
      </c>
      <c r="BF36" s="64">
        <v>0.5</v>
      </c>
      <c r="BG36" s="64">
        <v>0.48</v>
      </c>
      <c r="BH36" s="64">
        <v>0.47</v>
      </c>
      <c r="BI36" s="64">
        <v>0.49</v>
      </c>
      <c r="BJ36" s="313">
        <v>0.48</v>
      </c>
      <c r="BK36" s="64">
        <v>0.82</v>
      </c>
      <c r="BL36" s="313">
        <v>0.8</v>
      </c>
      <c r="BM36" s="313">
        <v>0.85</v>
      </c>
      <c r="BN36" s="313">
        <v>0.82</v>
      </c>
      <c r="BO36" s="65" t="s">
        <v>254</v>
      </c>
    </row>
    <row r="37" spans="2:67" x14ac:dyDescent="0.2">
      <c r="D37" s="11"/>
      <c r="J37" s="11"/>
      <c r="K37" s="13"/>
      <c r="L37" s="11"/>
      <c r="M37" s="11"/>
    </row>
    <row r="38" spans="2:67" x14ac:dyDescent="0.2">
      <c r="D38" s="11"/>
      <c r="J38" s="11"/>
      <c r="K38" s="13"/>
      <c r="L38" s="11"/>
      <c r="M38" s="11"/>
    </row>
    <row r="39" spans="2:67" x14ac:dyDescent="0.2">
      <c r="D39" s="11"/>
      <c r="J39" s="11"/>
      <c r="K39" s="13"/>
      <c r="L39" s="11"/>
      <c r="M39" s="11"/>
    </row>
    <row r="40" spans="2:67" x14ac:dyDescent="0.2">
      <c r="D40" s="11"/>
      <c r="J40" s="11"/>
      <c r="K40" s="13"/>
      <c r="L40" s="11"/>
      <c r="M40" s="11"/>
    </row>
  </sheetData>
  <autoFilter ref="B3:BO36"/>
  <mergeCells count="26">
    <mergeCell ref="BM2:BN2"/>
    <mergeCell ref="BK2:BL2"/>
    <mergeCell ref="AK2:AL2"/>
    <mergeCell ref="O2:P2"/>
    <mergeCell ref="Q2:R2"/>
    <mergeCell ref="S2:T2"/>
    <mergeCell ref="U2:V2"/>
    <mergeCell ref="W2:X2"/>
    <mergeCell ref="Y2:Z2"/>
    <mergeCell ref="AA2:AB2"/>
    <mergeCell ref="AC2:AD2"/>
    <mergeCell ref="AE2:AF2"/>
    <mergeCell ref="AG2:AH2"/>
    <mergeCell ref="AI2:AJ2"/>
    <mergeCell ref="BI2:BJ2"/>
    <mergeCell ref="AM2:AN2"/>
    <mergeCell ref="AO2:AP2"/>
    <mergeCell ref="BA2:BB2"/>
    <mergeCell ref="BC2:BD2"/>
    <mergeCell ref="BE2:BF2"/>
    <mergeCell ref="BG2:BH2"/>
    <mergeCell ref="AQ2:AR2"/>
    <mergeCell ref="AS2:AT2"/>
    <mergeCell ref="AU2:AV2"/>
    <mergeCell ref="AW2:AX2"/>
    <mergeCell ref="AY2:AZ2"/>
  </mergeCells>
  <pageMargins left="0.25" right="0.25" top="0.75" bottom="0.75" header="0.3" footer="0.3"/>
  <pageSetup paperSize="9" scale="1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B7676"/>
  </sheetPr>
  <dimension ref="A1:L34"/>
  <sheetViews>
    <sheetView tabSelected="1" workbookViewId="0">
      <selection activeCell="L27" sqref="L27"/>
    </sheetView>
  </sheetViews>
  <sheetFormatPr baseColWidth="10" defaultColWidth="9.140625" defaultRowHeight="15" x14ac:dyDescent="0.25"/>
  <cols>
    <col min="1" max="1" width="30.5703125" style="262" bestFit="1" customWidth="1"/>
    <col min="2" max="2" width="0" style="1" hidden="1" customWidth="1"/>
    <col min="3" max="3" width="29.140625" style="1" hidden="1" customWidth="1"/>
    <col min="4" max="4" width="22.7109375" style="1" hidden="1" customWidth="1"/>
    <col min="5" max="5" width="33.42578125" style="1" hidden="1" customWidth="1"/>
    <col min="6" max="6" width="23.140625" style="1" hidden="1" customWidth="1"/>
    <col min="7" max="7" width="47.42578125" style="264" customWidth="1"/>
    <col min="8" max="8" width="22" style="225" customWidth="1"/>
    <col min="9" max="9" width="19" style="2" customWidth="1"/>
    <col min="10" max="10" width="18.85546875" hidden="1" customWidth="1"/>
    <col min="11" max="11" width="15.140625" hidden="1" customWidth="1"/>
    <col min="12" max="12" width="40.7109375" style="202" customWidth="1"/>
  </cols>
  <sheetData>
    <row r="1" spans="1:12" x14ac:dyDescent="0.25">
      <c r="A1" s="256" t="s">
        <v>255</v>
      </c>
      <c r="B1" s="218" t="s">
        <v>0</v>
      </c>
      <c r="C1" s="218" t="s">
        <v>256</v>
      </c>
      <c r="D1" s="218" t="s">
        <v>257</v>
      </c>
      <c r="E1" s="221" t="s">
        <v>258</v>
      </c>
      <c r="F1" s="218" t="s">
        <v>259</v>
      </c>
      <c r="G1" s="224" t="s">
        <v>260</v>
      </c>
      <c r="H1" s="224" t="s">
        <v>261</v>
      </c>
      <c r="I1" s="226" t="s">
        <v>262</v>
      </c>
      <c r="J1" s="217" t="s">
        <v>263</v>
      </c>
      <c r="K1" s="217" t="s">
        <v>264</v>
      </c>
      <c r="L1" s="227" t="s">
        <v>29</v>
      </c>
    </row>
    <row r="2" spans="1:12" ht="30" x14ac:dyDescent="0.25">
      <c r="A2" s="257" t="s">
        <v>426</v>
      </c>
      <c r="B2" s="219">
        <v>3</v>
      </c>
      <c r="C2" s="219" t="s">
        <v>41</v>
      </c>
      <c r="D2" s="219" t="s">
        <v>42</v>
      </c>
      <c r="E2" s="219" t="s">
        <v>43</v>
      </c>
      <c r="F2" s="222">
        <v>45901</v>
      </c>
      <c r="G2" s="263"/>
      <c r="H2" s="228" t="s">
        <v>265</v>
      </c>
      <c r="I2" s="229">
        <v>45960</v>
      </c>
      <c r="J2" s="230"/>
      <c r="K2" s="230"/>
      <c r="L2" s="231" t="s">
        <v>266</v>
      </c>
    </row>
    <row r="3" spans="1:12" x14ac:dyDescent="0.25">
      <c r="A3" s="257" t="s">
        <v>426</v>
      </c>
      <c r="B3" s="220">
        <v>4</v>
      </c>
      <c r="C3" s="220" t="s">
        <v>41</v>
      </c>
      <c r="D3" s="220" t="s">
        <v>42</v>
      </c>
      <c r="E3" s="220" t="s">
        <v>43</v>
      </c>
      <c r="F3" s="223">
        <v>45901</v>
      </c>
      <c r="G3" s="263"/>
      <c r="H3" s="265" t="s">
        <v>267</v>
      </c>
      <c r="I3" s="229">
        <v>45960</v>
      </c>
      <c r="J3" s="230"/>
      <c r="K3" s="230"/>
      <c r="L3" s="231" t="s">
        <v>268</v>
      </c>
    </row>
    <row r="4" spans="1:12" x14ac:dyDescent="0.25">
      <c r="A4" s="257" t="s">
        <v>426</v>
      </c>
      <c r="B4" s="219">
        <v>7</v>
      </c>
      <c r="C4" s="219" t="s">
        <v>41</v>
      </c>
      <c r="D4" s="219" t="s">
        <v>42</v>
      </c>
      <c r="E4" s="219" t="s">
        <v>43</v>
      </c>
      <c r="F4" s="222">
        <v>45901</v>
      </c>
      <c r="G4" s="263"/>
      <c r="H4" s="228" t="s">
        <v>146</v>
      </c>
      <c r="I4" s="229">
        <v>45960</v>
      </c>
      <c r="J4" s="230"/>
      <c r="K4" s="230"/>
      <c r="L4" s="231" t="s">
        <v>268</v>
      </c>
    </row>
    <row r="5" spans="1:12" x14ac:dyDescent="0.25">
      <c r="A5" s="257" t="s">
        <v>426</v>
      </c>
      <c r="B5" s="220">
        <v>8</v>
      </c>
      <c r="C5" s="220" t="s">
        <v>41</v>
      </c>
      <c r="D5" s="220" t="s">
        <v>42</v>
      </c>
      <c r="E5" s="220" t="s">
        <v>43</v>
      </c>
      <c r="F5" s="223">
        <v>45901</v>
      </c>
      <c r="G5" s="263"/>
      <c r="H5" s="265" t="s">
        <v>146</v>
      </c>
      <c r="I5" s="229">
        <v>45960</v>
      </c>
      <c r="J5" s="230"/>
      <c r="K5" s="230"/>
      <c r="L5" s="231" t="s">
        <v>268</v>
      </c>
    </row>
    <row r="6" spans="1:12" x14ac:dyDescent="0.25">
      <c r="A6" s="257" t="s">
        <v>426</v>
      </c>
      <c r="B6" s="219">
        <v>9</v>
      </c>
      <c r="C6" s="219" t="s">
        <v>41</v>
      </c>
      <c r="D6" s="219" t="s">
        <v>42</v>
      </c>
      <c r="E6" s="219" t="s">
        <v>43</v>
      </c>
      <c r="F6" s="222">
        <v>45901</v>
      </c>
      <c r="G6" s="263"/>
      <c r="H6" s="228" t="s">
        <v>98</v>
      </c>
      <c r="I6" s="229">
        <v>45960</v>
      </c>
      <c r="J6" s="230"/>
      <c r="K6" s="230"/>
      <c r="L6" s="231" t="s">
        <v>268</v>
      </c>
    </row>
    <row r="7" spans="1:12" x14ac:dyDescent="0.25">
      <c r="A7" s="257" t="s">
        <v>426</v>
      </c>
      <c r="B7" s="220">
        <v>10</v>
      </c>
      <c r="C7" s="220" t="s">
        <v>41</v>
      </c>
      <c r="D7" s="220" t="s">
        <v>42</v>
      </c>
      <c r="E7" s="220" t="s">
        <v>43</v>
      </c>
      <c r="F7" s="223">
        <v>45901</v>
      </c>
      <c r="G7" s="263"/>
      <c r="H7" s="228" t="s">
        <v>269</v>
      </c>
      <c r="I7" s="229">
        <v>45960</v>
      </c>
      <c r="J7" s="230"/>
      <c r="K7" s="230"/>
      <c r="L7" s="231" t="s">
        <v>268</v>
      </c>
    </row>
    <row r="8" spans="1:12" x14ac:dyDescent="0.25">
      <c r="A8" s="258" t="s">
        <v>427</v>
      </c>
      <c r="B8" s="220">
        <v>2</v>
      </c>
      <c r="C8" s="220" t="s">
        <v>34</v>
      </c>
      <c r="D8" s="220" t="s">
        <v>270</v>
      </c>
      <c r="E8" s="220" t="s">
        <v>36</v>
      </c>
      <c r="F8" s="223">
        <v>46023</v>
      </c>
      <c r="G8" s="263"/>
      <c r="H8" s="228" t="s">
        <v>271</v>
      </c>
      <c r="I8" s="229">
        <v>45918</v>
      </c>
      <c r="J8" s="230"/>
      <c r="K8" s="230"/>
      <c r="L8" s="231" t="s">
        <v>272</v>
      </c>
    </row>
    <row r="9" spans="1:12" x14ac:dyDescent="0.25">
      <c r="A9" s="258" t="s">
        <v>427</v>
      </c>
      <c r="B9" s="219">
        <v>3</v>
      </c>
      <c r="C9" s="219" t="s">
        <v>34</v>
      </c>
      <c r="D9" s="219" t="s">
        <v>270</v>
      </c>
      <c r="E9" s="219" t="s">
        <v>36</v>
      </c>
      <c r="F9" s="222">
        <v>46023</v>
      </c>
      <c r="G9" s="263"/>
      <c r="H9" s="228" t="s">
        <v>273</v>
      </c>
      <c r="I9" s="229">
        <v>45933</v>
      </c>
      <c r="J9" s="230"/>
      <c r="K9" s="230"/>
      <c r="L9" s="231" t="s">
        <v>274</v>
      </c>
    </row>
    <row r="10" spans="1:12" x14ac:dyDescent="0.25">
      <c r="A10" s="258" t="s">
        <v>427</v>
      </c>
      <c r="B10" s="220">
        <v>4</v>
      </c>
      <c r="C10" s="220" t="s">
        <v>34</v>
      </c>
      <c r="D10" s="220" t="s">
        <v>270</v>
      </c>
      <c r="E10" s="220" t="s">
        <v>36</v>
      </c>
      <c r="F10" s="223">
        <v>46023</v>
      </c>
      <c r="G10" s="263"/>
      <c r="H10" s="228" t="s">
        <v>275</v>
      </c>
      <c r="I10" s="229">
        <v>45933</v>
      </c>
      <c r="J10" s="230"/>
      <c r="K10" s="230"/>
      <c r="L10" s="231" t="s">
        <v>274</v>
      </c>
    </row>
    <row r="11" spans="1:12" x14ac:dyDescent="0.25">
      <c r="A11" s="258" t="s">
        <v>427</v>
      </c>
      <c r="B11" s="219">
        <v>5</v>
      </c>
      <c r="C11" s="219" t="s">
        <v>34</v>
      </c>
      <c r="D11" s="219" t="s">
        <v>270</v>
      </c>
      <c r="E11" s="219" t="s">
        <v>36</v>
      </c>
      <c r="F11" s="222">
        <v>46023</v>
      </c>
      <c r="G11" s="263"/>
      <c r="H11" s="228" t="s">
        <v>276</v>
      </c>
      <c r="I11" s="229">
        <v>45933</v>
      </c>
      <c r="J11" s="230"/>
      <c r="K11" s="230"/>
      <c r="L11" s="231" t="s">
        <v>274</v>
      </c>
    </row>
    <row r="12" spans="1:12" x14ac:dyDescent="0.25">
      <c r="A12" s="258" t="s">
        <v>427</v>
      </c>
      <c r="B12" s="220">
        <v>10</v>
      </c>
      <c r="C12" s="220" t="s">
        <v>34</v>
      </c>
      <c r="D12" s="220" t="s">
        <v>270</v>
      </c>
      <c r="E12" s="220" t="s">
        <v>36</v>
      </c>
      <c r="F12" s="223">
        <v>46023</v>
      </c>
      <c r="G12" s="263"/>
      <c r="H12" s="228" t="s">
        <v>277</v>
      </c>
      <c r="I12" s="229">
        <v>45960</v>
      </c>
      <c r="J12" s="230"/>
      <c r="K12" s="230"/>
      <c r="L12" s="231" t="s">
        <v>274</v>
      </c>
    </row>
    <row r="13" spans="1:12" ht="45" x14ac:dyDescent="0.25">
      <c r="A13" s="259" t="s">
        <v>428</v>
      </c>
      <c r="B13" s="219">
        <v>1</v>
      </c>
      <c r="C13" s="219" t="s">
        <v>50</v>
      </c>
      <c r="D13" s="219" t="s">
        <v>42</v>
      </c>
      <c r="E13" s="219" t="s">
        <v>278</v>
      </c>
      <c r="F13" s="222">
        <v>45962</v>
      </c>
      <c r="G13" s="263"/>
      <c r="H13" s="228" t="s">
        <v>279</v>
      </c>
      <c r="I13" s="229">
        <v>45933</v>
      </c>
      <c r="J13" s="230"/>
      <c r="K13" s="230"/>
      <c r="L13" s="231" t="s">
        <v>280</v>
      </c>
    </row>
    <row r="14" spans="1:12" ht="30" x14ac:dyDescent="0.25">
      <c r="A14" s="259" t="s">
        <v>428</v>
      </c>
      <c r="B14" s="220">
        <v>2</v>
      </c>
      <c r="C14" s="220" t="s">
        <v>50</v>
      </c>
      <c r="D14" s="220" t="s">
        <v>42</v>
      </c>
      <c r="E14" s="220" t="s">
        <v>278</v>
      </c>
      <c r="F14" s="223">
        <v>45962</v>
      </c>
      <c r="G14" s="263"/>
      <c r="H14" s="228" t="s">
        <v>281</v>
      </c>
      <c r="I14" s="229" t="s">
        <v>35</v>
      </c>
      <c r="J14" s="230"/>
      <c r="K14" s="230"/>
      <c r="L14" s="231" t="s">
        <v>282</v>
      </c>
    </row>
    <row r="15" spans="1:12" x14ac:dyDescent="0.25">
      <c r="A15" s="259" t="s">
        <v>428</v>
      </c>
      <c r="B15" s="220">
        <v>4</v>
      </c>
      <c r="C15" s="220" t="s">
        <v>50</v>
      </c>
      <c r="D15" s="220" t="s">
        <v>42</v>
      </c>
      <c r="E15" s="220" t="s">
        <v>278</v>
      </c>
      <c r="F15" s="223">
        <v>45962</v>
      </c>
      <c r="G15" s="263"/>
      <c r="H15" s="228" t="s">
        <v>283</v>
      </c>
      <c r="I15" s="229" t="s">
        <v>272</v>
      </c>
      <c r="J15" s="230"/>
      <c r="K15" s="230"/>
      <c r="L15" s="231" t="s">
        <v>284</v>
      </c>
    </row>
    <row r="16" spans="1:12" ht="30" x14ac:dyDescent="0.25">
      <c r="A16" s="259" t="s">
        <v>428</v>
      </c>
      <c r="B16" s="220">
        <v>6</v>
      </c>
      <c r="C16" s="220" t="s">
        <v>50</v>
      </c>
      <c r="D16" s="220" t="s">
        <v>42</v>
      </c>
      <c r="E16" s="220" t="s">
        <v>278</v>
      </c>
      <c r="F16" s="223">
        <v>45962</v>
      </c>
      <c r="G16" s="263"/>
      <c r="H16" s="228" t="s">
        <v>285</v>
      </c>
      <c r="I16" s="228" t="s">
        <v>35</v>
      </c>
      <c r="J16" s="230"/>
      <c r="K16" s="230"/>
      <c r="L16" s="231" t="s">
        <v>286</v>
      </c>
    </row>
    <row r="17" spans="1:12" ht="30" x14ac:dyDescent="0.25">
      <c r="A17" s="259" t="s">
        <v>428</v>
      </c>
      <c r="B17" s="219">
        <v>7</v>
      </c>
      <c r="C17" s="219" t="s">
        <v>50</v>
      </c>
      <c r="D17" s="219" t="s">
        <v>42</v>
      </c>
      <c r="E17" s="219" t="s">
        <v>278</v>
      </c>
      <c r="F17" s="222">
        <v>45962</v>
      </c>
      <c r="G17" s="263"/>
      <c r="H17" s="228" t="s">
        <v>281</v>
      </c>
      <c r="I17" s="228" t="s">
        <v>35</v>
      </c>
      <c r="J17" s="230"/>
      <c r="K17" s="230"/>
      <c r="L17" s="231" t="s">
        <v>286</v>
      </c>
    </row>
    <row r="18" spans="1:12" x14ac:dyDescent="0.25">
      <c r="A18" s="260" t="s">
        <v>429</v>
      </c>
      <c r="B18" s="219">
        <v>1</v>
      </c>
      <c r="C18" s="219" t="s">
        <v>38</v>
      </c>
      <c r="D18" s="219" t="s">
        <v>39</v>
      </c>
      <c r="E18" s="219" t="s">
        <v>40</v>
      </c>
      <c r="F18" s="222">
        <v>46266</v>
      </c>
      <c r="G18" s="263"/>
      <c r="H18" s="228" t="s">
        <v>275</v>
      </c>
      <c r="I18" s="229" t="s">
        <v>35</v>
      </c>
      <c r="J18" s="230"/>
      <c r="K18" s="230"/>
      <c r="L18" s="231" t="s">
        <v>268</v>
      </c>
    </row>
    <row r="19" spans="1:12" x14ac:dyDescent="0.25">
      <c r="A19" s="260" t="s">
        <v>429</v>
      </c>
      <c r="B19" s="220">
        <v>2</v>
      </c>
      <c r="C19" s="220" t="s">
        <v>38</v>
      </c>
      <c r="D19" s="220" t="s">
        <v>39</v>
      </c>
      <c r="E19" s="220" t="s">
        <v>40</v>
      </c>
      <c r="F19" s="223">
        <v>46266</v>
      </c>
      <c r="G19" s="263"/>
      <c r="H19" s="228" t="s">
        <v>287</v>
      </c>
      <c r="I19" s="229" t="s">
        <v>35</v>
      </c>
      <c r="J19" s="230"/>
      <c r="K19" s="230"/>
      <c r="L19" s="231" t="s">
        <v>274</v>
      </c>
    </row>
    <row r="20" spans="1:12" x14ac:dyDescent="0.25">
      <c r="A20" s="260" t="s">
        <v>429</v>
      </c>
      <c r="B20" s="219">
        <v>3</v>
      </c>
      <c r="C20" s="219" t="s">
        <v>38</v>
      </c>
      <c r="D20" s="219" t="s">
        <v>39</v>
      </c>
      <c r="E20" s="219" t="s">
        <v>40</v>
      </c>
      <c r="F20" s="222">
        <v>46266</v>
      </c>
      <c r="G20" s="263"/>
      <c r="H20" s="228" t="s">
        <v>275</v>
      </c>
      <c r="I20" s="229" t="s">
        <v>35</v>
      </c>
      <c r="J20" s="230"/>
      <c r="K20" s="230"/>
      <c r="L20" s="231" t="s">
        <v>274</v>
      </c>
    </row>
    <row r="21" spans="1:12" x14ac:dyDescent="0.25">
      <c r="A21" s="260" t="s">
        <v>429</v>
      </c>
      <c r="B21" s="220">
        <v>4</v>
      </c>
      <c r="C21" s="220" t="s">
        <v>38</v>
      </c>
      <c r="D21" s="220" t="s">
        <v>39</v>
      </c>
      <c r="E21" s="220" t="s">
        <v>40</v>
      </c>
      <c r="F21" s="223">
        <v>46266</v>
      </c>
      <c r="G21" s="263"/>
      <c r="H21" s="228" t="s">
        <v>281</v>
      </c>
      <c r="I21" s="229" t="s">
        <v>35</v>
      </c>
      <c r="J21" s="230"/>
      <c r="K21" s="230"/>
      <c r="L21" s="231" t="s">
        <v>268</v>
      </c>
    </row>
    <row r="22" spans="1:12" x14ac:dyDescent="0.25">
      <c r="A22" s="260" t="s">
        <v>429</v>
      </c>
      <c r="B22" s="219">
        <v>7</v>
      </c>
      <c r="C22" s="219" t="s">
        <v>38</v>
      </c>
      <c r="D22" s="219" t="s">
        <v>39</v>
      </c>
      <c r="E22" s="219" t="s">
        <v>40</v>
      </c>
      <c r="F22" s="222">
        <v>46266</v>
      </c>
      <c r="G22" s="263"/>
      <c r="H22" s="228" t="s">
        <v>40</v>
      </c>
      <c r="I22" s="229" t="s">
        <v>35</v>
      </c>
      <c r="J22" s="230"/>
      <c r="K22" s="230"/>
      <c r="L22" s="231" t="s">
        <v>268</v>
      </c>
    </row>
    <row r="23" spans="1:12" x14ac:dyDescent="0.25">
      <c r="A23" s="260" t="s">
        <v>429</v>
      </c>
      <c r="B23" s="219"/>
      <c r="C23" s="219"/>
      <c r="D23" s="219"/>
      <c r="E23" s="219"/>
      <c r="F23" s="222"/>
      <c r="G23" s="263"/>
      <c r="H23" s="228" t="s">
        <v>288</v>
      </c>
      <c r="I23" s="229" t="s">
        <v>272</v>
      </c>
      <c r="J23" s="230"/>
      <c r="K23" s="230"/>
      <c r="L23" s="231" t="s">
        <v>272</v>
      </c>
    </row>
    <row r="24" spans="1:12" x14ac:dyDescent="0.25">
      <c r="A24" s="260" t="s">
        <v>429</v>
      </c>
      <c r="B24" s="219"/>
      <c r="C24" s="219"/>
      <c r="D24" s="219"/>
      <c r="E24" s="219"/>
      <c r="F24" s="222"/>
      <c r="G24" s="263"/>
      <c r="H24" s="228" t="s">
        <v>289</v>
      </c>
      <c r="I24" s="229"/>
      <c r="J24" s="230"/>
      <c r="K24" s="230"/>
      <c r="L24" s="231" t="s">
        <v>268</v>
      </c>
    </row>
    <row r="25" spans="1:12" ht="30" x14ac:dyDescent="0.25">
      <c r="A25" s="261" t="s">
        <v>431</v>
      </c>
      <c r="B25" s="220">
        <v>1</v>
      </c>
      <c r="C25" s="220" t="s">
        <v>48</v>
      </c>
      <c r="D25" s="220" t="s">
        <v>290</v>
      </c>
      <c r="E25" s="220" t="s">
        <v>49</v>
      </c>
      <c r="F25" s="223">
        <v>46204</v>
      </c>
      <c r="G25" s="263"/>
      <c r="H25" s="232" t="s">
        <v>291</v>
      </c>
      <c r="I25" s="229" t="s">
        <v>292</v>
      </c>
      <c r="J25" s="230"/>
      <c r="K25" s="230"/>
      <c r="L25" s="231" t="s">
        <v>293</v>
      </c>
    </row>
    <row r="26" spans="1:12" ht="30" x14ac:dyDescent="0.25">
      <c r="A26" s="261" t="s">
        <v>431</v>
      </c>
      <c r="B26" s="219"/>
      <c r="C26" s="219"/>
      <c r="D26" s="219"/>
      <c r="E26" s="219"/>
      <c r="F26" s="222"/>
      <c r="G26" s="263"/>
      <c r="H26" s="228" t="s">
        <v>294</v>
      </c>
      <c r="I26" s="229">
        <v>45926</v>
      </c>
      <c r="J26" s="230"/>
      <c r="K26" s="230"/>
      <c r="L26" s="231" t="s">
        <v>295</v>
      </c>
    </row>
    <row r="27" spans="1:12" x14ac:dyDescent="0.25">
      <c r="A27" s="261" t="s">
        <v>431</v>
      </c>
      <c r="B27" s="219">
        <v>2</v>
      </c>
      <c r="C27" s="219" t="s">
        <v>48</v>
      </c>
      <c r="D27" s="219" t="s">
        <v>290</v>
      </c>
      <c r="E27" s="219" t="s">
        <v>49</v>
      </c>
      <c r="F27" s="222">
        <v>46204</v>
      </c>
      <c r="G27" s="263"/>
      <c r="H27" s="228" t="s">
        <v>289</v>
      </c>
      <c r="I27" s="229">
        <v>45930</v>
      </c>
      <c r="J27" s="230"/>
      <c r="K27" s="230"/>
      <c r="L27" s="231" t="s">
        <v>268</v>
      </c>
    </row>
    <row r="28" spans="1:12" x14ac:dyDescent="0.25">
      <c r="A28" s="261" t="s">
        <v>431</v>
      </c>
      <c r="B28" s="220">
        <v>3</v>
      </c>
      <c r="C28" s="220" t="s">
        <v>48</v>
      </c>
      <c r="D28" s="220" t="s">
        <v>290</v>
      </c>
      <c r="E28" s="220" t="s">
        <v>49</v>
      </c>
      <c r="F28" s="223">
        <v>46204</v>
      </c>
      <c r="G28" s="263"/>
      <c r="H28" s="228" t="s">
        <v>294</v>
      </c>
      <c r="I28" s="229">
        <v>45930</v>
      </c>
      <c r="J28" s="230"/>
      <c r="K28" s="230"/>
      <c r="L28" s="231" t="s">
        <v>268</v>
      </c>
    </row>
    <row r="29" spans="1:12" x14ac:dyDescent="0.25">
      <c r="A29" s="261" t="s">
        <v>431</v>
      </c>
      <c r="B29" s="219"/>
      <c r="C29" s="219"/>
      <c r="D29" s="219"/>
      <c r="E29" s="219"/>
      <c r="F29" s="222"/>
      <c r="G29" s="263"/>
      <c r="H29" s="228" t="s">
        <v>296</v>
      </c>
      <c r="I29" s="229">
        <v>45918</v>
      </c>
      <c r="J29" s="230"/>
      <c r="L29" s="231" t="s">
        <v>272</v>
      </c>
    </row>
    <row r="30" spans="1:12" ht="30" x14ac:dyDescent="0.25">
      <c r="A30" s="261" t="s">
        <v>431</v>
      </c>
      <c r="B30" s="219"/>
      <c r="C30" s="219"/>
      <c r="D30" s="219"/>
      <c r="E30" s="219"/>
      <c r="F30" s="222"/>
      <c r="G30" s="263"/>
      <c r="H30" s="228" t="s">
        <v>297</v>
      </c>
      <c r="I30" s="229">
        <v>45925</v>
      </c>
      <c r="J30" s="230"/>
      <c r="K30" s="230"/>
      <c r="L30" s="231" t="s">
        <v>298</v>
      </c>
    </row>
    <row r="31" spans="1:12" x14ac:dyDescent="0.25">
      <c r="A31" s="261" t="s">
        <v>431</v>
      </c>
      <c r="B31" s="220">
        <v>5</v>
      </c>
      <c r="C31" s="220" t="s">
        <v>48</v>
      </c>
      <c r="D31" s="220" t="s">
        <v>290</v>
      </c>
      <c r="E31" s="220" t="s">
        <v>49</v>
      </c>
      <c r="F31" s="223">
        <v>46204</v>
      </c>
      <c r="G31" s="263"/>
      <c r="H31" s="228" t="s">
        <v>45</v>
      </c>
      <c r="I31" s="229">
        <v>45926</v>
      </c>
      <c r="J31" s="230"/>
      <c r="L31" s="231" t="s">
        <v>268</v>
      </c>
    </row>
    <row r="32" spans="1:12" x14ac:dyDescent="0.25">
      <c r="A32" s="261" t="s">
        <v>431</v>
      </c>
      <c r="B32" s="219">
        <v>6</v>
      </c>
      <c r="C32" s="219" t="s">
        <v>48</v>
      </c>
      <c r="D32" s="219" t="s">
        <v>290</v>
      </c>
      <c r="E32" s="219" t="s">
        <v>49</v>
      </c>
      <c r="F32" s="222">
        <v>46204</v>
      </c>
      <c r="G32" s="263"/>
      <c r="H32" s="228" t="s">
        <v>45</v>
      </c>
      <c r="I32" s="228" t="s">
        <v>35</v>
      </c>
      <c r="J32" s="230"/>
      <c r="L32" s="231" t="s">
        <v>268</v>
      </c>
    </row>
    <row r="33" spans="1:12" ht="30" x14ac:dyDescent="0.25">
      <c r="A33" s="261" t="s">
        <v>431</v>
      </c>
      <c r="B33" s="220">
        <v>7</v>
      </c>
      <c r="C33" s="220" t="s">
        <v>48</v>
      </c>
      <c r="D33" s="220" t="s">
        <v>290</v>
      </c>
      <c r="E33" s="220" t="s">
        <v>49</v>
      </c>
      <c r="F33" s="223">
        <v>46204</v>
      </c>
      <c r="G33" s="263"/>
      <c r="H33" s="228" t="s">
        <v>299</v>
      </c>
      <c r="I33" s="229">
        <v>45926</v>
      </c>
      <c r="J33" s="230"/>
      <c r="K33" s="230"/>
      <c r="L33" s="231" t="s">
        <v>300</v>
      </c>
    </row>
    <row r="34" spans="1:12" x14ac:dyDescent="0.25">
      <c r="A34" s="261" t="s">
        <v>431</v>
      </c>
      <c r="B34" s="219">
        <v>8</v>
      </c>
      <c r="C34" s="219" t="s">
        <v>48</v>
      </c>
      <c r="D34" s="219" t="s">
        <v>290</v>
      </c>
      <c r="E34" s="219" t="s">
        <v>49</v>
      </c>
      <c r="F34" s="222">
        <v>46204</v>
      </c>
      <c r="G34" s="263"/>
      <c r="H34" s="228" t="s">
        <v>299</v>
      </c>
      <c r="I34" s="229">
        <v>45926</v>
      </c>
      <c r="J34" s="230"/>
      <c r="K34" s="230"/>
      <c r="L34" s="231" t="s">
        <v>268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CD4C28B6A366A48AE6C5CB7EF0473EC" ma:contentTypeVersion="16" ma:contentTypeDescription="Crear nuevo documento." ma:contentTypeScope="" ma:versionID="116c777ff85414db4da7d9e463d9ab55">
  <xsd:schema xmlns:xsd="http://www.w3.org/2001/XMLSchema" xmlns:xs="http://www.w3.org/2001/XMLSchema" xmlns:p="http://schemas.microsoft.com/office/2006/metadata/properties" xmlns:ns2="d949ff55-c3b2-47d0-83bd-87e3c400f295" xmlns:ns3="860b2574-c8e5-4143-9c8d-933800433a55" targetNamespace="http://schemas.microsoft.com/office/2006/metadata/properties" ma:root="true" ma:fieldsID="591524e15f05fbc31fe2a6cbca275c07" ns2:_="" ns3:_="">
    <xsd:import namespace="d949ff55-c3b2-47d0-83bd-87e3c400f295"/>
    <xsd:import namespace="860b2574-c8e5-4143-9c8d-933800433a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9ff55-c3b2-47d0-83bd-87e3c400f2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40dcf0f-ef43-4134-b02e-4da2af1727e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0b2574-c8e5-4143-9c8d-933800433a5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caf0f1f-a108-470f-a8d6-f756cdded91f}" ma:internalName="TaxCatchAll" ma:showField="CatchAllData" ma:web="860b2574-c8e5-4143-9c8d-933800433a5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60b2574-c8e5-4143-9c8d-933800433a55" xsi:nil="true"/>
    <lcf76f155ced4ddcb4097134ff3c332f xmlns="d949ff55-c3b2-47d0-83bd-87e3c400f29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23C2EF-62D5-4F8F-B89F-895E834E86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49ff55-c3b2-47d0-83bd-87e3c400f295"/>
    <ds:schemaRef ds:uri="860b2574-c8e5-4143-9c8d-933800433a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D07EAC-7C07-4801-90A9-CFB10F167D67}">
  <ds:schemaRefs>
    <ds:schemaRef ds:uri="860b2574-c8e5-4143-9c8d-933800433a55"/>
    <ds:schemaRef ds:uri="http://purl.org/dc/elements/1.1/"/>
    <ds:schemaRef ds:uri="http://purl.org/dc/dcmitype/"/>
    <ds:schemaRef ds:uri="http://www.w3.org/XML/1998/namespace"/>
    <ds:schemaRef ds:uri="http://schemas.openxmlformats.org/package/2006/metadata/core-properties"/>
    <ds:schemaRef ds:uri="http://schemas.microsoft.com/office/2006/documentManagement/types"/>
    <ds:schemaRef ds:uri="http://purl.org/dc/terms/"/>
    <ds:schemaRef ds:uri="http://schemas.microsoft.com/office/infopath/2007/PartnerControls"/>
    <ds:schemaRef ds:uri="d949ff55-c3b2-47d0-83bd-87e3c400f295"/>
    <ds:schemaRef ds:uri="http://schemas.microsoft.com/office/2006/metadata/properties"/>
  </ds:schemaRefs>
</ds:datastoreItem>
</file>

<file path=customXml/itemProps3.xml><?xml version="1.0" encoding="utf-8"?>
<ds:datastoreItem xmlns:ds="http://schemas.openxmlformats.org/officeDocument/2006/customXml" ds:itemID="{7C54BACC-D87D-4EFD-9285-16E42604B76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Portafolio P&amp;D</vt:lpstr>
      <vt:lpstr>Demanda Estrategica CT</vt:lpstr>
      <vt:lpstr>Pys Transf Digital</vt:lpstr>
      <vt:lpstr>Seguimiento Semanal</vt:lpstr>
      <vt:lpstr>'Pys Transf Digital'!Área_de_impresión</vt:lpstr>
    </vt:vector>
  </TitlesOfParts>
  <Manager/>
  <Company>Banco de la Nacion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Backlog</dc:title>
  <dc:subject/>
  <dc:creator>LIZZET CLENCY SANCHEZ ROBLES</dc:creator>
  <cp:keywords/>
  <dc:description/>
  <cp:lastModifiedBy>Daniel</cp:lastModifiedBy>
  <cp:revision/>
  <dcterms:created xsi:type="dcterms:W3CDTF">2025-07-14T00:51:57Z</dcterms:created>
  <dcterms:modified xsi:type="dcterms:W3CDTF">2026-05-08T17:29:20Z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0x010100ECD4C28B6A366A48AE6C5CB7EF0473EC</vt:lpwstr>
  </property>
  <property fmtid="{D5CDD505-2E9C-101B-9397-08002B2CF9AE}" pid="3" name="MediaServiceImageTags">
    <vt:lpwstr/>
  </property>
</Properties>
</file>